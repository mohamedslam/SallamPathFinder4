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<sst xmlns="http://schemas.openxmlformats.org/spreadsheetml/2006/main" count="134" uniqueCount="92">
  <si>
    <t>Количество препятствий</t>
  </si>
  <si>
    <t>SPPA-DL (успех/время)</t>
  </si>
  <si>
    <t>SPPA-D (успех/время)</t>
  </si>
  <si>
    <t>∞</t>
  </si>
  <si>
    <t>SPPA-DL Улучшение успеха (%)</t>
  </si>
  <si>
    <t>SPPA-D Улучшение времени (%)</t>
  </si>
  <si>
    <t>Obstacles</t>
  </si>
  <si>
    <t>SPPA-DL (%)</t>
  </si>
  <si>
    <t>Lower CI</t>
  </si>
  <si>
    <t>Upper CI</t>
  </si>
  <si>
    <t>SPPA-D (%)</t>
  </si>
  <si>
    <t>1- Performance vs Obstacles (SPPA-DL vs SPPA-D with Confidence Bands)</t>
  </si>
  <si>
    <t>2. Kaplan-Meier Survival Curve</t>
  </si>
  <si>
    <t>SPPA-DL Survival (%)</t>
  </si>
  <si>
    <t>SPPA-D Survival (%)</t>
  </si>
  <si>
    <t>3. Algorithm Comparison (Bar Chart with Error Bars)</t>
  </si>
  <si>
    <t>Algorithm</t>
  </si>
  <si>
    <t>Mean Time (ms)</t>
  </si>
  <si>
    <t>Std Deviation</t>
  </si>
  <si>
    <t>SPPA_DL</t>
  </si>
  <si>
    <t>SPPA</t>
  </si>
  <si>
    <t>A*</t>
  </si>
  <si>
    <t>D*</t>
  </si>
  <si>
    <t>KNN</t>
  </si>
  <si>
    <t>PSO</t>
  </si>
  <si>
    <t>GA</t>
  </si>
  <si>
    <t>ACO</t>
  </si>
  <si>
    <t>Time</t>
  </si>
  <si>
    <t>Path Length</t>
  </si>
  <si>
    <t>Success</t>
  </si>
  <si>
    <t>Battery</t>
  </si>
  <si>
    <t>Experience</t>
  </si>
  <si>
    <t>4- Correlation Matrix (Heatmap)</t>
  </si>
  <si>
    <t>7-Tornado Chart (Sensitivity Analysis)</t>
  </si>
  <si>
    <t>Parameter</t>
  </si>
  <si>
    <t>Impact on Success (%)</t>
  </si>
  <si>
    <t>Impact on Time (%)</t>
  </si>
  <si>
    <t>μ (Predicted Risk)</t>
  </si>
  <si>
    <t>λ (Actual Risk)</t>
  </si>
  <si>
    <t>T_win (Horizon)</t>
  </si>
  <si>
    <t>γ (Spatial Sens.)</t>
  </si>
  <si>
    <t>α (Distance Sens.)</t>
  </si>
  <si>
    <t>β (Speed Sens.)</t>
  </si>
  <si>
    <t>Training Missions</t>
  </si>
  <si>
    <t>Success Rate (%)</t>
  </si>
  <si>
    <t>Execution Time (s)</t>
  </si>
  <si>
    <t>8- Learning Curve</t>
  </si>
  <si>
    <t>9. Cost-Benefit Efficiency</t>
  </si>
  <si>
    <t>Efficiency (Success % per ms)</t>
  </si>
  <si>
    <t>Statistic</t>
  </si>
  <si>
    <t>Min</t>
  </si>
  <si>
    <t>Q1</t>
  </si>
  <si>
    <t>Median</t>
  </si>
  <si>
    <t>Q3</t>
  </si>
  <si>
    <t>Max</t>
  </si>
  <si>
    <t>Iteration 1</t>
  </si>
  <si>
    <t>Iteration 2</t>
  </si>
  <si>
    <t>Iteration 3</t>
  </si>
  <si>
    <t>Iteration 4</t>
  </si>
  <si>
    <t>Iteration 5</t>
  </si>
  <si>
    <r>
      <t>A</t>
    </r>
    <r>
      <rPr>
        <sz val="11"/>
        <color theme="1"/>
        <rFont val="Segoe UI"/>
        <family val="2"/>
      </rPr>
      <t>*</t>
    </r>
  </si>
  <si>
    <r>
      <t>D</t>
    </r>
    <r>
      <rPr>
        <sz val="11"/>
        <color theme="1"/>
        <rFont val="Segoe UI"/>
        <family val="2"/>
      </rPr>
      <t>*</t>
    </r>
  </si>
  <si>
    <t xml:space="preserve">Raw Data for Each Algorithm (Execution Time in ms)
</t>
  </si>
  <si>
    <t>Five-Number Summary for Each Algorithm</t>
  </si>
  <si>
    <t>IQR</t>
  </si>
  <si>
    <t>Lower Whisker</t>
  </si>
  <si>
    <t>Upper Whisker</t>
  </si>
  <si>
    <t>Q1 - Lower Whisker</t>
  </si>
  <si>
    <t>Median - Q1</t>
  </si>
  <si>
    <t>Q3 - Median</t>
  </si>
  <si>
    <t>Max - Q3</t>
  </si>
  <si>
    <t>Total (Max - Min)</t>
  </si>
  <si>
    <t xml:space="preserve">Boxplot StaBoxplot Stacked Data </t>
  </si>
  <si>
    <t>Verification: Total = Max - Min</t>
  </si>
  <si>
    <t>Max - Min</t>
  </si>
  <si>
    <t>Total from Stacked Data</t>
  </si>
  <si>
    <t>20.22 - 16.27 = 3.95</t>
  </si>
  <si>
    <t>0.04 + 1.79 + 1.39 + 0.73 = 3.95</t>
  </si>
  <si>
    <t>26.93 - 18.19 = 8.74</t>
  </si>
  <si>
    <t>0.65 + 2.49 + 4.77 + 0.83 = 8.74</t>
  </si>
  <si>
    <t>22.24 - 10.45 = 11.79</t>
  </si>
  <si>
    <t>0.46 + 2.38 + 8.32 + 0.63 = 11.79</t>
  </si>
  <si>
    <t>59.81 - 22.46 = 37.35</t>
  </si>
  <si>
    <t>1.31 + 1.93 + 25.89 + 8.22 = 37.35</t>
  </si>
  <si>
    <t>10.30 - 1.40 = 8.90</t>
  </si>
  <si>
    <t>0.06 + 0.07 + 5.20 + 3.57 = 8.90</t>
  </si>
  <si>
    <t>3224.49 - 2999.90 = 224.59</t>
  </si>
  <si>
    <t>2.69 + 47.89 + 89.54 + 84.47 = 224.59</t>
  </si>
  <si>
    <t>922.50 - 862.09 = 60.41</t>
  </si>
  <si>
    <t>6.71 + 22.65 + 15.89 + 15.16 = 60.41</t>
  </si>
  <si>
    <t>1562.59 - 1505.11 = 57.48</t>
  </si>
  <si>
    <t>3.57 + 26.07 + 15.03 + 12.81 = 57.48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</si>
</sst>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"/>
      <scheme val="minor"/>
    </font>
    <font>
      <b/>
      <sz val="11.5"/>
      <color rgb="FF000000"/>
      <name val="Times New Roman"/>
      <family val="1"/>
    </font>
    <font>
      <sz val="11.5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7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9" fontId="2" fillId="0" borderId="4" xfId="0" applyNumberFormat="1" applyFont="1" applyBorder="1" applyAlignment="1">
      <alignment horizontal="center" vertical="top" wrapText="1"/>
    </xf>
    <xf numFmtId="10" fontId="2" fillId="0" borderId="4" xfId="0" applyNumberFormat="1" applyFont="1" applyBorder="1" applyAlignment="1">
      <alignment horizontal="center" vertical="top" wrapText="1"/>
    </xf>
    <xf numFmtId="0" fontId="0" fillId="0" borderId="0" xfId="0" applyAlignment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0" borderId="0" xfId="0" applyFont="1" applyAlignment="1"/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wrapText="1" indent="1"/>
    </xf>
    <xf numFmtId="0" fontId="5" fillId="0" borderId="5" xfId="0" applyFont="1" applyBorder="1" applyAlignment="1">
      <alignment horizontal="left" wrapText="1" indent="1"/>
    </xf>
    <xf numFmtId="0" fontId="8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0" xfId="0" applyFont="1"/>
    <xf numFmtId="0" fontId="8" fillId="0" borderId="0" xfId="0" applyFont="1" applyAlignment="1">
      <alignment wrapText="1"/>
    </xf>
    <xf numFmtId="0" fontId="8" fillId="0" borderId="0" xfId="0" applyFont="1" applyBorder="1" applyAlignment="1">
      <alignment horizont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left" wrapText="1" indent="1"/>
    </xf>
    <xf numFmtId="0" fontId="6" fillId="7" borderId="29" xfId="0" applyFont="1" applyFill="1" applyBorder="1" applyAlignment="1">
      <alignment horizontal="left" wrapText="1" indent="1"/>
    </xf>
    <xf numFmtId="0" fontId="6" fillId="7" borderId="30" xfId="0" applyFont="1" applyFill="1" applyBorder="1" applyAlignment="1">
      <alignment horizontal="left" wrapText="1" inden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wrapText="1" indent="1"/>
    </xf>
    <xf numFmtId="0" fontId="5" fillId="0" borderId="12" xfId="0" applyFont="1" applyBorder="1" applyAlignment="1">
      <alignment horizontal="left" wrapText="1" indent="1"/>
    </xf>
    <xf numFmtId="0" fontId="5" fillId="0" borderId="13" xfId="0" applyFont="1" applyBorder="1" applyAlignment="1">
      <alignment horizontal="left" wrapText="1" indent="1"/>
    </xf>
    <xf numFmtId="0" fontId="6" fillId="4" borderId="9" xfId="0" applyFont="1" applyFill="1" applyBorder="1" applyAlignment="1">
      <alignment horizontal="left" wrapText="1" indent="1"/>
    </xf>
    <xf numFmtId="0" fontId="6" fillId="4" borderId="11" xfId="0" applyFont="1" applyFill="1" applyBorder="1" applyAlignment="1">
      <alignment horizontal="left" wrapText="1" indent="1"/>
    </xf>
    <xf numFmtId="0" fontId="6" fillId="4" borderId="31" xfId="0" applyFont="1" applyFill="1" applyBorder="1" applyAlignment="1">
      <alignment horizontal="left" wrapText="1" indent="1"/>
    </xf>
    <xf numFmtId="0" fontId="5" fillId="0" borderId="32" xfId="0" applyFont="1" applyBorder="1" applyAlignment="1">
      <alignment horizontal="left" wrapText="1" indent="1"/>
    </xf>
    <xf numFmtId="0" fontId="5" fillId="0" borderId="33" xfId="0" applyFont="1" applyBorder="1" applyAlignment="1">
      <alignment horizontal="left" wrapText="1" indent="1"/>
    </xf>
    <xf numFmtId="0" fontId="7" fillId="6" borderId="28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6" borderId="30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left" wrapText="1" indent="1"/>
    </xf>
    <xf numFmtId="0" fontId="7" fillId="4" borderId="11" xfId="0" applyFont="1" applyFill="1" applyBorder="1" applyAlignment="1">
      <alignment horizontal="left" wrapText="1" indent="1"/>
    </xf>
    <xf numFmtId="0" fontId="7" fillId="4" borderId="6" xfId="0" applyFont="1" applyFill="1" applyBorder="1" applyAlignment="1">
      <alignment horizontal="left" wrapText="1" indent="1"/>
    </xf>
    <xf numFmtId="0" fontId="9" fillId="0" borderId="7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10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chart>
    <c:title>
      <c:tx>
        <c:rich>
          <a:bodyPr/>
          <a:lstStyle/>
          <a:p>
            <a:pPr>
              <a:defRPr/>
            </a:pPr>
            <a:r>
              <a:rPr lang="en-US"/>
              <a:t>SPPA-DL </a:t>
            </a:r>
            <a:r>
              <a:rPr lang="ru-RU"/>
              <a:t>Улучшение времени (%)</a:t>
            </a:r>
          </a:p>
        </c:rich>
      </c:tx>
      <c:layout>
        <c:manualLayout>
          <c:xMode val="edge"/>
          <c:yMode val="edge"/>
          <c:x val="3.946537069573728E-2"/>
          <c:y val="1.695974254582687E-2"/>
        </c:manualLayout>
      </c:layout>
    </c:title>
    <c:plotArea>
      <c:layout>
        <c:manualLayout>
          <c:layoutTarget val="inner"/>
          <c:xMode val="edge"/>
          <c:yMode val="edge"/>
          <c:x val="9.1237075577515092E-2"/>
          <c:y val="9.2163764159915632E-2"/>
          <c:w val="0.8847841479688936"/>
          <c:h val="0.83351342234571724"/>
        </c:manualLayout>
      </c:layout>
      <c:scatterChart>
        <c:scatterStyle val="lineMarker"/>
        <c:ser>
          <c:idx val="0"/>
          <c:order val="0"/>
          <c:tx>
            <c:strRef>
              <c:f>Sheet1!$E$1</c:f>
              <c:strCache>
                <c:ptCount val="1"/>
                <c:pt idx="0">
                  <c:v>SPPA-D Улучшение времени (%)</c:v>
                </c:pt>
              </c:strCache>
            </c:strRef>
          </c:tx>
          <c:xVal>
            <c:multiLvlStrRef>
              <c:f>Sheet1!$A$2:$D$25</c:f>
              <c:multiLvlStrCache>
                <c:ptCount val="24"/>
                <c:lvl>
                  <c:pt idx="0">
                    <c:v>1.00%</c:v>
                  </c:pt>
                  <c:pt idx="1">
                    <c:v>3.20%</c:v>
                  </c:pt>
                  <c:pt idx="2">
                    <c:v>10.30%</c:v>
                  </c:pt>
                  <c:pt idx="3">
                    <c:v>15.20%</c:v>
                  </c:pt>
                  <c:pt idx="4">
                    <c:v>21.10%</c:v>
                  </c:pt>
                  <c:pt idx="5">
                    <c:v>28.10%</c:v>
                  </c:pt>
                  <c:pt idx="6">
                    <c:v>34.50%</c:v>
                  </c:pt>
                  <c:pt idx="7">
                    <c:v>40.40%</c:v>
                  </c:pt>
                  <c:pt idx="8">
                    <c:v>51.10%</c:v>
                  </c:pt>
                  <c:pt idx="9">
                    <c:v>64.90%</c:v>
                  </c:pt>
                  <c:pt idx="10">
                    <c:v>86.20%</c:v>
                  </c:pt>
                  <c:pt idx="11">
                    <c:v>113.60%</c:v>
                  </c:pt>
                  <c:pt idx="12">
                    <c:v>143.80%</c:v>
                  </c:pt>
                  <c:pt idx="13">
                    <c:v>190.90%</c:v>
                  </c:pt>
                  <c:pt idx="14">
                    <c:v>250.00%</c:v>
                  </c:pt>
                  <c:pt idx="15">
                    <c:v>300.00%</c:v>
                  </c:pt>
                  <c:pt idx="16">
                    <c:v>400.00%</c:v>
                  </c:pt>
                  <c:pt idx="17">
                    <c:v>466.70%</c:v>
                  </c:pt>
                  <c:pt idx="18">
                    <c:v>600.00%</c:v>
                  </c:pt>
                  <c:pt idx="19">
                    <c:v>1000.00%</c:v>
                  </c:pt>
                  <c:pt idx="20">
                    <c:v>1700.00%</c:v>
                  </c:pt>
                  <c:pt idx="21">
                    <c:v>3400.00%</c:v>
                  </c:pt>
                  <c:pt idx="22">
                    <c:v>4900.00%</c:v>
                  </c:pt>
                  <c:pt idx="23">
                    <c:v>∞</c:v>
                  </c:pt>
                </c:lvl>
                <c:lvl>
                  <c:pt idx="0">
                    <c:v>98%</c:v>
                  </c:pt>
                  <c:pt idx="1">
                    <c:v>94%</c:v>
                  </c:pt>
                  <c:pt idx="2">
                    <c:v>87%</c:v>
                  </c:pt>
                  <c:pt idx="3">
                    <c:v>79%</c:v>
                  </c:pt>
                  <c:pt idx="4">
                    <c:v>71%</c:v>
                  </c:pt>
                  <c:pt idx="5">
                    <c:v>64%</c:v>
                  </c:pt>
                  <c:pt idx="6">
                    <c:v>58%</c:v>
                  </c:pt>
                  <c:pt idx="7">
                    <c:v>52%</c:v>
                  </c:pt>
                  <c:pt idx="8">
                    <c:v>45%</c:v>
                  </c:pt>
                  <c:pt idx="9">
                    <c:v>37%</c:v>
                  </c:pt>
                  <c:pt idx="10">
                    <c:v>29%</c:v>
                  </c:pt>
                  <c:pt idx="11">
                    <c:v>22%</c:v>
                  </c:pt>
                  <c:pt idx="12">
                    <c:v>16%</c:v>
                  </c:pt>
                  <c:pt idx="13">
                    <c:v>11%</c:v>
                  </c:pt>
                  <c:pt idx="14">
                    <c:v>8%</c:v>
                  </c:pt>
                  <c:pt idx="15">
                    <c:v>6%</c:v>
                  </c:pt>
                  <c:pt idx="16">
                    <c:v>4%</c:v>
                  </c:pt>
                  <c:pt idx="17">
                    <c:v>3%</c:v>
                  </c:pt>
                  <c:pt idx="18">
                    <c:v>2%</c:v>
                  </c:pt>
                  <c:pt idx="19">
                    <c:v>1%</c:v>
                  </c:pt>
                  <c:pt idx="20">
                    <c:v>0.50%</c:v>
                  </c:pt>
                  <c:pt idx="21">
                    <c:v>0.20%</c:v>
                  </c:pt>
                  <c:pt idx="22">
                    <c:v>0.10%</c:v>
                  </c:pt>
                  <c:pt idx="23">
                    <c:v>0.00%</c:v>
                  </c:pt>
                </c:lvl>
                <c:lvl>
                  <c:pt idx="0">
                    <c:v>99%</c:v>
                  </c:pt>
                  <c:pt idx="1">
                    <c:v>97%</c:v>
                  </c:pt>
                  <c:pt idx="2">
                    <c:v>96%</c:v>
                  </c:pt>
                  <c:pt idx="3">
                    <c:v>91%</c:v>
                  </c:pt>
                  <c:pt idx="4">
                    <c:v>86%</c:v>
                  </c:pt>
                  <c:pt idx="5">
                    <c:v>82%</c:v>
                  </c:pt>
                  <c:pt idx="6">
                    <c:v>78%</c:v>
                  </c:pt>
                  <c:pt idx="7">
                    <c:v>73%</c:v>
                  </c:pt>
                  <c:pt idx="8">
                    <c:v>68%</c:v>
                  </c:pt>
                  <c:pt idx="9">
                    <c:v>61%</c:v>
                  </c:pt>
                  <c:pt idx="10">
                    <c:v>54%</c:v>
                  </c:pt>
                  <c:pt idx="11">
                    <c:v>47%</c:v>
                  </c:pt>
                  <c:pt idx="12">
                    <c:v>39%</c:v>
                  </c:pt>
                  <c:pt idx="13">
                    <c:v>32%</c:v>
                  </c:pt>
                  <c:pt idx="14">
                    <c:v>28%</c:v>
                  </c:pt>
                  <c:pt idx="15">
                    <c:v>24%</c:v>
                  </c:pt>
                  <c:pt idx="16">
                    <c:v>20%</c:v>
                  </c:pt>
                  <c:pt idx="17">
                    <c:v>17%</c:v>
                  </c:pt>
                  <c:pt idx="18">
                    <c:v>14%</c:v>
                  </c:pt>
                  <c:pt idx="19">
                    <c:v>11%</c:v>
                  </c:pt>
                  <c:pt idx="20">
                    <c:v>9%</c:v>
                  </c:pt>
                  <c:pt idx="21">
                    <c:v>7%</c:v>
                  </c:pt>
                  <c:pt idx="22">
                    <c:v>5%</c:v>
                  </c:pt>
                  <c:pt idx="23">
                    <c:v>4%</c:v>
                  </c:pt>
                </c:lvl>
                <c:lvl>
                  <c:pt idx="0">
                    <c:v>2</c:v>
                  </c:pt>
                  <c:pt idx="1">
                    <c:v>5</c:v>
                  </c:pt>
                  <c:pt idx="2">
                    <c:v>9</c:v>
                  </c:pt>
                  <c:pt idx="3">
                    <c:v>12</c:v>
                  </c:pt>
                  <c:pt idx="4">
                    <c:v>15</c:v>
                  </c:pt>
                  <c:pt idx="5">
                    <c:v>18</c:v>
                  </c:pt>
                  <c:pt idx="6">
                    <c:v>20</c:v>
                  </c:pt>
                  <c:pt idx="7">
                    <c:v>22</c:v>
                  </c:pt>
                  <c:pt idx="8">
                    <c:v>25</c:v>
                  </c:pt>
                  <c:pt idx="9">
                    <c:v>30</c:v>
                  </c:pt>
                  <c:pt idx="10">
                    <c:v>35</c:v>
                  </c:pt>
                  <c:pt idx="11">
                    <c:v>40</c:v>
                  </c:pt>
                  <c:pt idx="12">
                    <c:v>45</c:v>
                  </c:pt>
                  <c:pt idx="13">
                    <c:v>50</c:v>
                  </c:pt>
                  <c:pt idx="14">
                    <c:v>55</c:v>
                  </c:pt>
                  <c:pt idx="15">
                    <c:v>60</c:v>
                  </c:pt>
                  <c:pt idx="16">
                    <c:v>65</c:v>
                  </c:pt>
                  <c:pt idx="17">
                    <c:v>70</c:v>
                  </c:pt>
                  <c:pt idx="18">
                    <c:v>75</c:v>
                  </c:pt>
                  <c:pt idx="19">
                    <c:v>80</c:v>
                  </c:pt>
                  <c:pt idx="20">
                    <c:v>85</c:v>
                  </c:pt>
                  <c:pt idx="21">
                    <c:v>90</c:v>
                  </c:pt>
                  <c:pt idx="22">
                    <c:v>95</c:v>
                  </c:pt>
                  <c:pt idx="23">
                    <c:v>100</c:v>
                  </c:pt>
                </c:lvl>
              </c:multiLvlStrCache>
            </c:multiLvlStrRef>
          </c:xVal>
          <c:yVal>
            <c:numRef>
              <c:f>Sheet1!$E$2:$E$25</c:f>
              <c:numCache>
                <c:formatCode>0.00%</c:formatCode>
                <c:ptCount val="24"/>
                <c:pt idx="0">
                  <c:v>5.2999999999999999E-2</c:v>
                </c:pt>
                <c:pt idx="1">
                  <c:v>9.4E-2</c:v>
                </c:pt>
                <c:pt idx="2">
                  <c:v>0.17699999999999999</c:v>
                </c:pt>
                <c:pt idx="3">
                  <c:v>0.19800000000000001</c:v>
                </c:pt>
                <c:pt idx="4">
                  <c:v>0.21199999999999999</c:v>
                </c:pt>
                <c:pt idx="5">
                  <c:v>0.22800000000000001</c:v>
                </c:pt>
                <c:pt idx="6">
                  <c:v>0.253</c:v>
                </c:pt>
                <c:pt idx="7">
                  <c:v>0.27800000000000002</c:v>
                </c:pt>
                <c:pt idx="8">
                  <c:v>0.30199999999999999</c:v>
                </c:pt>
                <c:pt idx="9">
                  <c:v>0.32700000000000001</c:v>
                </c:pt>
                <c:pt idx="10">
                  <c:v>0.35799999999999998</c:v>
                </c:pt>
                <c:pt idx="11">
                  <c:v>0.38100000000000001</c:v>
                </c:pt>
                <c:pt idx="12">
                  <c:v>0.40300000000000002</c:v>
                </c:pt>
                <c:pt idx="13">
                  <c:v>0.42399999999999999</c:v>
                </c:pt>
                <c:pt idx="14">
                  <c:v>0.435</c:v>
                </c:pt>
                <c:pt idx="15">
                  <c:v>0.44800000000000001</c:v>
                </c:pt>
                <c:pt idx="16">
                  <c:v>0.46200000000000002</c:v>
                </c:pt>
                <c:pt idx="17">
                  <c:v>0.47299999999999998</c:v>
                </c:pt>
                <c:pt idx="18">
                  <c:v>0.48299999999999998</c:v>
                </c:pt>
                <c:pt idx="19">
                  <c:v>0.49299999999999999</c:v>
                </c:pt>
                <c:pt idx="20">
                  <c:v>0.502</c:v>
                </c:pt>
                <c:pt idx="21">
                  <c:v>0.50900000000000001</c:v>
                </c:pt>
                <c:pt idx="22">
                  <c:v>0.51500000000000001</c:v>
                </c:pt>
                <c:pt idx="23">
                  <c:v>0.52100000000000002</c:v>
                </c:pt>
              </c:numCache>
            </c:numRef>
          </c:yVal>
        </c:ser>
        <c:axId val="121996032"/>
        <c:axId val="121997568"/>
      </c:scatterChart>
      <c:valAx>
        <c:axId val="121996032"/>
        <c:scaling>
          <c:orientation val="minMax"/>
        </c:scaling>
        <c:axPos val="b"/>
        <c:tickLblPos val="nextTo"/>
        <c:crossAx val="121997568"/>
        <c:crosses val="autoZero"/>
        <c:crossBetween val="midCat"/>
      </c:valAx>
      <c:valAx>
        <c:axId val="121997568"/>
        <c:scaling>
          <c:orientation val="minMax"/>
        </c:scaling>
        <c:axPos val="l"/>
        <c:majorGridlines/>
        <c:numFmt formatCode="0.00%" sourceLinked="1"/>
        <c:tickLblPos val="nextTo"/>
        <c:crossAx val="1219960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0432564922698861"/>
          <c:y val="3.6027314470340271E-2"/>
          <c:w val="0.26059079932294915"/>
          <c:h val="4.3604185871213147E-2"/>
        </c:manualLayout>
      </c:layout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9020801923524067E-2"/>
          <c:y val="3.9250497487992739E-2"/>
          <c:w val="0.91402214456662467"/>
          <c:h val="0.89376385749732834"/>
        </c:manualLayout>
      </c:layout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SPPA-DL (успех/время)</c:v>
                </c:pt>
              </c:strCache>
            </c:strRef>
          </c:tx>
          <c:val>
            <c:numRef>
              <c:f>Sheet1!$B$2:$B$25</c:f>
              <c:numCache>
                <c:formatCode>0%</c:formatCode>
                <c:ptCount val="24"/>
                <c:pt idx="0">
                  <c:v>0.99</c:v>
                </c:pt>
                <c:pt idx="1">
                  <c:v>0.97</c:v>
                </c:pt>
                <c:pt idx="2">
                  <c:v>0.96</c:v>
                </c:pt>
                <c:pt idx="3">
                  <c:v>0.91</c:v>
                </c:pt>
                <c:pt idx="4">
                  <c:v>0.86</c:v>
                </c:pt>
                <c:pt idx="5">
                  <c:v>0.82</c:v>
                </c:pt>
                <c:pt idx="6">
                  <c:v>0.78</c:v>
                </c:pt>
                <c:pt idx="7">
                  <c:v>0.73</c:v>
                </c:pt>
                <c:pt idx="8">
                  <c:v>0.68</c:v>
                </c:pt>
                <c:pt idx="9">
                  <c:v>0.61</c:v>
                </c:pt>
                <c:pt idx="10">
                  <c:v>0.54</c:v>
                </c:pt>
                <c:pt idx="11">
                  <c:v>0.47</c:v>
                </c:pt>
                <c:pt idx="12">
                  <c:v>0.39</c:v>
                </c:pt>
                <c:pt idx="13">
                  <c:v>0.32</c:v>
                </c:pt>
                <c:pt idx="14">
                  <c:v>0.28000000000000003</c:v>
                </c:pt>
                <c:pt idx="15">
                  <c:v>0.24</c:v>
                </c:pt>
                <c:pt idx="16">
                  <c:v>0.2</c:v>
                </c:pt>
                <c:pt idx="17">
                  <c:v>0.17</c:v>
                </c:pt>
                <c:pt idx="18">
                  <c:v>0.14000000000000001</c:v>
                </c:pt>
                <c:pt idx="19">
                  <c:v>0.11</c:v>
                </c:pt>
                <c:pt idx="20">
                  <c:v>0.09</c:v>
                </c:pt>
                <c:pt idx="21">
                  <c:v>7.0000000000000007E-2</c:v>
                </c:pt>
                <c:pt idx="22">
                  <c:v>0.05</c:v>
                </c:pt>
                <c:pt idx="23">
                  <c:v>0.04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SPPA-D (успех/время)</c:v>
                </c:pt>
              </c:strCache>
            </c:strRef>
          </c:tx>
          <c:val>
            <c:numRef>
              <c:f>Sheet1!$C$2:$C$25</c:f>
              <c:numCache>
                <c:formatCode>0%</c:formatCode>
                <c:ptCount val="24"/>
                <c:pt idx="0">
                  <c:v>0.98</c:v>
                </c:pt>
                <c:pt idx="1">
                  <c:v>0.94</c:v>
                </c:pt>
                <c:pt idx="2">
                  <c:v>0.87</c:v>
                </c:pt>
                <c:pt idx="3">
                  <c:v>0.79</c:v>
                </c:pt>
                <c:pt idx="4">
                  <c:v>0.71</c:v>
                </c:pt>
                <c:pt idx="5">
                  <c:v>0.64</c:v>
                </c:pt>
                <c:pt idx="6">
                  <c:v>0.57999999999999996</c:v>
                </c:pt>
                <c:pt idx="7">
                  <c:v>0.52</c:v>
                </c:pt>
                <c:pt idx="8">
                  <c:v>0.45</c:v>
                </c:pt>
                <c:pt idx="9">
                  <c:v>0.37</c:v>
                </c:pt>
                <c:pt idx="10">
                  <c:v>0.28999999999999998</c:v>
                </c:pt>
                <c:pt idx="11">
                  <c:v>0.22</c:v>
                </c:pt>
                <c:pt idx="12">
                  <c:v>0.16</c:v>
                </c:pt>
                <c:pt idx="13">
                  <c:v>0.11</c:v>
                </c:pt>
                <c:pt idx="14">
                  <c:v>0.08</c:v>
                </c:pt>
                <c:pt idx="15">
                  <c:v>0.06</c:v>
                </c:pt>
                <c:pt idx="16">
                  <c:v>0.04</c:v>
                </c:pt>
                <c:pt idx="17">
                  <c:v>0.03</c:v>
                </c:pt>
                <c:pt idx="18">
                  <c:v>0.02</c:v>
                </c:pt>
                <c:pt idx="19">
                  <c:v>0.01</c:v>
                </c:pt>
                <c:pt idx="20" formatCode="0.00%">
                  <c:v>5.0000000000000001E-3</c:v>
                </c:pt>
                <c:pt idx="21" formatCode="0.00%">
                  <c:v>2E-3</c:v>
                </c:pt>
                <c:pt idx="22" formatCode="0.00%">
                  <c:v>1E-3</c:v>
                </c:pt>
                <c:pt idx="23" formatCode="0.00%">
                  <c:v>0</c:v>
                </c:pt>
              </c:numCache>
            </c:numRef>
          </c:val>
        </c:ser>
        <c:marker val="1"/>
        <c:axId val="122953088"/>
        <c:axId val="122958976"/>
      </c:lineChart>
      <c:catAx>
        <c:axId val="122953088"/>
        <c:scaling>
          <c:orientation val="minMax"/>
        </c:scaling>
        <c:axPos val="b"/>
        <c:tickLblPos val="nextTo"/>
        <c:crossAx val="122958976"/>
        <c:crosses val="autoZero"/>
        <c:auto val="1"/>
        <c:lblAlgn val="ctr"/>
        <c:lblOffset val="100"/>
      </c:catAx>
      <c:valAx>
        <c:axId val="122958976"/>
        <c:scaling>
          <c:orientation val="minMax"/>
        </c:scaling>
        <c:axPos val="l"/>
        <c:majorGridlines/>
        <c:numFmt formatCode="0%" sourceLinked="1"/>
        <c:tickLblPos val="nextTo"/>
        <c:crossAx val="12295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3083402787589761"/>
          <c:y val="4.6415898426463896E-2"/>
          <c:w val="0.17135218798367807"/>
          <c:h val="7.1308151363818503E-2"/>
        </c:manualLayout>
      </c:layout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3455503047541989"/>
          <c:y val="0.39831790173512965"/>
        </c:manualLayout>
      </c:layout>
    </c:title>
    <c:plotArea>
      <c:layout/>
      <c:lineChart>
        <c:grouping val="standard"/>
        <c:ser>
          <c:idx val="0"/>
          <c:order val="0"/>
          <c:tx>
            <c:strRef>
              <c:f>Sheet1!$D$1</c:f>
              <c:strCache>
                <c:ptCount val="1"/>
                <c:pt idx="0">
                  <c:v>SPPA-DL Улучшение успеха (%)</c:v>
                </c:pt>
              </c:strCache>
            </c:strRef>
          </c:tx>
          <c:marker>
            <c:symbol val="none"/>
          </c:marker>
          <c:val>
            <c:numRef>
              <c:f>Sheet1!$D$2:$D$24</c:f>
              <c:numCache>
                <c:formatCode>0.00%</c:formatCode>
                <c:ptCount val="23"/>
                <c:pt idx="0">
                  <c:v>0.01</c:v>
                </c:pt>
                <c:pt idx="1">
                  <c:v>3.2000000000000001E-2</c:v>
                </c:pt>
                <c:pt idx="2">
                  <c:v>0.10299999999999999</c:v>
                </c:pt>
                <c:pt idx="3">
                  <c:v>0.152</c:v>
                </c:pt>
                <c:pt idx="4">
                  <c:v>0.21099999999999999</c:v>
                </c:pt>
                <c:pt idx="5">
                  <c:v>0.28100000000000003</c:v>
                </c:pt>
                <c:pt idx="6">
                  <c:v>0.34499999999999997</c:v>
                </c:pt>
                <c:pt idx="7">
                  <c:v>0.40400000000000003</c:v>
                </c:pt>
                <c:pt idx="8">
                  <c:v>0.51100000000000001</c:v>
                </c:pt>
                <c:pt idx="9">
                  <c:v>0.64900000000000002</c:v>
                </c:pt>
                <c:pt idx="10">
                  <c:v>0.86199999999999999</c:v>
                </c:pt>
                <c:pt idx="11">
                  <c:v>1.1359999999999999</c:v>
                </c:pt>
                <c:pt idx="12">
                  <c:v>1.4379999999999999</c:v>
                </c:pt>
                <c:pt idx="13">
                  <c:v>1.909</c:v>
                </c:pt>
                <c:pt idx="14">
                  <c:v>2.5</c:v>
                </c:pt>
                <c:pt idx="15">
                  <c:v>3</c:v>
                </c:pt>
                <c:pt idx="16">
                  <c:v>4</c:v>
                </c:pt>
                <c:pt idx="17">
                  <c:v>4.6669999999999998</c:v>
                </c:pt>
                <c:pt idx="18">
                  <c:v>6</c:v>
                </c:pt>
                <c:pt idx="19">
                  <c:v>10</c:v>
                </c:pt>
                <c:pt idx="20">
                  <c:v>17</c:v>
                </c:pt>
                <c:pt idx="21">
                  <c:v>34</c:v>
                </c:pt>
                <c:pt idx="22">
                  <c:v>49</c:v>
                </c:pt>
              </c:numCache>
            </c:numRef>
          </c:val>
        </c:ser>
        <c:hiLowLines/>
        <c:marker val="1"/>
        <c:axId val="123003264"/>
        <c:axId val="123005184"/>
      </c:lineChart>
      <c:catAx>
        <c:axId val="123003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ru-RU" sz="1800"/>
                  <a:t>Количество препятствий</a:t>
                </a:r>
                <a:endParaRPr lang="en-US" sz="1800"/>
              </a:p>
            </c:rich>
          </c:tx>
          <c:layout/>
        </c:title>
        <c:majorTickMark val="none"/>
        <c:tickLblPos val="nextTo"/>
        <c:crossAx val="123005184"/>
        <c:crosses val="autoZero"/>
        <c:auto val="1"/>
        <c:lblAlgn val="ctr"/>
        <c:lblOffset val="100"/>
      </c:catAx>
      <c:valAx>
        <c:axId val="12300518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2000"/>
                </a:pPr>
                <a:r>
                  <a:rPr lang="ru-RU" sz="2000"/>
                  <a:t>Улучшение успеха</a:t>
                </a:r>
                <a:endParaRPr lang="en-US" sz="2000"/>
              </a:p>
            </c:rich>
          </c:tx>
          <c:layout/>
        </c:title>
        <c:numFmt formatCode="0.00%" sourceLinked="1"/>
        <c:tickLblPos val="nextTo"/>
        <c:crossAx val="123003264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657932390558205"/>
          <c:y val="3.4913566625282708E-2"/>
          <c:w val="0.66804712120015108"/>
          <c:h val="0.79626291474128907"/>
        </c:manualLayout>
      </c:layout>
      <c:lineChart>
        <c:grouping val="standard"/>
        <c:ser>
          <c:idx val="0"/>
          <c:order val="0"/>
          <c:tx>
            <c:strRef>
              <c:f>Sheet2!$A$2</c:f>
              <c:strCache>
                <c:ptCount val="1"/>
                <c:pt idx="0">
                  <c:v>Obstacles</c:v>
                </c:pt>
              </c:strCache>
            </c:strRef>
          </c:tx>
          <c:val>
            <c:numRef>
              <c:f>Sheet2!$A$3:$A$15</c:f>
              <c:numCache>
                <c:formatCode>General</c:formatCode>
                <c:ptCount val="13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35</c:v>
                </c:pt>
              </c:numCache>
            </c:numRef>
          </c:val>
        </c:ser>
        <c:ser>
          <c:idx val="1"/>
          <c:order val="1"/>
          <c:tx>
            <c:strRef>
              <c:f>Sheet2!$B$2</c:f>
              <c:strCache>
                <c:ptCount val="1"/>
                <c:pt idx="0">
                  <c:v>SPPA-DL (%)</c:v>
                </c:pt>
              </c:strCache>
            </c:strRef>
          </c:tx>
          <c:val>
            <c:numRef>
              <c:f>Sheet2!$B$3:$B$15</c:f>
              <c:numCache>
                <c:formatCode>General</c:formatCode>
                <c:ptCount val="13"/>
                <c:pt idx="0">
                  <c:v>99</c:v>
                </c:pt>
                <c:pt idx="1">
                  <c:v>97</c:v>
                </c:pt>
                <c:pt idx="2">
                  <c:v>96</c:v>
                </c:pt>
                <c:pt idx="3">
                  <c:v>91</c:v>
                </c:pt>
                <c:pt idx="4">
                  <c:v>86</c:v>
                </c:pt>
                <c:pt idx="5">
                  <c:v>82</c:v>
                </c:pt>
                <c:pt idx="6">
                  <c:v>78</c:v>
                </c:pt>
                <c:pt idx="7">
                  <c:v>73</c:v>
                </c:pt>
                <c:pt idx="8">
                  <c:v>68</c:v>
                </c:pt>
                <c:pt idx="9">
                  <c:v>63</c:v>
                </c:pt>
                <c:pt idx="10">
                  <c:v>61</c:v>
                </c:pt>
                <c:pt idx="11">
                  <c:v>55</c:v>
                </c:pt>
                <c:pt idx="12">
                  <c:v>50</c:v>
                </c:pt>
              </c:numCache>
            </c:numRef>
          </c:val>
        </c:ser>
        <c:ser>
          <c:idx val="4"/>
          <c:order val="2"/>
          <c:tx>
            <c:strRef>
              <c:f>Sheet2!$E$2</c:f>
              <c:strCache>
                <c:ptCount val="1"/>
                <c:pt idx="0">
                  <c:v>SPPA-D (%)</c:v>
                </c:pt>
              </c:strCache>
            </c:strRef>
          </c:tx>
          <c:val>
            <c:numRef>
              <c:f>Sheet2!$E$3:$E$15</c:f>
              <c:numCache>
                <c:formatCode>General</c:formatCode>
                <c:ptCount val="13"/>
                <c:pt idx="0">
                  <c:v>98</c:v>
                </c:pt>
                <c:pt idx="1">
                  <c:v>94</c:v>
                </c:pt>
                <c:pt idx="2">
                  <c:v>87</c:v>
                </c:pt>
                <c:pt idx="3">
                  <c:v>79</c:v>
                </c:pt>
                <c:pt idx="4">
                  <c:v>71</c:v>
                </c:pt>
                <c:pt idx="5">
                  <c:v>64</c:v>
                </c:pt>
                <c:pt idx="6">
                  <c:v>58</c:v>
                </c:pt>
                <c:pt idx="7">
                  <c:v>52</c:v>
                </c:pt>
                <c:pt idx="8">
                  <c:v>45</c:v>
                </c:pt>
                <c:pt idx="9">
                  <c:v>39</c:v>
                </c:pt>
                <c:pt idx="10">
                  <c:v>37</c:v>
                </c:pt>
                <c:pt idx="11">
                  <c:v>31</c:v>
                </c:pt>
                <c:pt idx="12">
                  <c:v>25</c:v>
                </c:pt>
              </c:numCache>
            </c:numRef>
          </c:val>
        </c:ser>
        <c:dropLines/>
        <c:marker val="1"/>
        <c:axId val="122086144"/>
        <c:axId val="122088064"/>
      </c:lineChart>
      <c:catAx>
        <c:axId val="122086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="1" u="none"/>
                </a:pPr>
                <a:r>
                  <a:rPr lang="en-US" sz="1000" b="1" i="0" u="none" strike="noStrike" baseline="0"/>
                  <a:t>Number of Dynamic Obstacles</a:t>
                </a:r>
                <a:endParaRPr lang="en-US" b="1" u="none"/>
              </a:p>
            </c:rich>
          </c:tx>
          <c:layout>
            <c:manualLayout>
              <c:xMode val="edge"/>
              <c:yMode val="edge"/>
              <c:x val="0.30668984102739671"/>
              <c:y val="0.90501564650341881"/>
            </c:manualLayout>
          </c:layout>
        </c:title>
        <c:majorTickMark val="none"/>
        <c:tickLblPos val="nextTo"/>
        <c:crossAx val="122088064"/>
        <c:crosses val="autoZero"/>
        <c:auto val="1"/>
        <c:lblAlgn val="ctr"/>
        <c:lblOffset val="100"/>
      </c:catAx>
      <c:valAx>
        <c:axId val="122088064"/>
        <c:scaling>
          <c:logBase val="10"/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1" u="none"/>
                </a:pPr>
                <a:r>
                  <a:rPr lang="en-US" sz="1000" b="1" i="0" u="none" strike="noStrike" baseline="0"/>
                  <a:t>Mission Success Rate (%)</a:t>
                </a:r>
                <a:endParaRPr lang="en-US" b="1" u="none"/>
              </a:p>
            </c:rich>
          </c:tx>
          <c:layout>
            <c:manualLayout>
              <c:xMode val="edge"/>
              <c:yMode val="edge"/>
              <c:x val="8.9097597740041574E-3"/>
              <c:y val="8.3927094138087049E-2"/>
            </c:manualLayout>
          </c:layout>
        </c:title>
        <c:numFmt formatCode="#,##0" sourceLinked="0"/>
        <c:tickLblPos val="low"/>
        <c:crossAx val="122086144"/>
        <c:crosses val="autoZero"/>
        <c:crossBetween val="between"/>
      </c:valAx>
    </c:plotArea>
    <c:legend>
      <c:legendPos val="r"/>
      <c:layout/>
    </c:legend>
    <c:plotVisOnly val="1"/>
  </c:chart>
  <c:spPr>
    <a:solidFill>
      <a:sysClr val="window" lastClr="FFFFFF">
        <a:alpha val="90000"/>
      </a:sys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Kaplan-Meier Survival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Sheet2!$A$18</c:f>
              <c:strCache>
                <c:ptCount val="1"/>
                <c:pt idx="0">
                  <c:v>Obstacles</c:v>
                </c:pt>
              </c:strCache>
            </c:strRef>
          </c:tx>
          <c:val>
            <c:numRef>
              <c:f>Sheet2!$A$19:$A$25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val>
        </c:ser>
        <c:ser>
          <c:idx val="1"/>
          <c:order val="1"/>
          <c:tx>
            <c:strRef>
              <c:f>Sheet2!$B$18</c:f>
              <c:strCache>
                <c:ptCount val="1"/>
                <c:pt idx="0">
                  <c:v>SPPA-DL Survival (%)</c:v>
                </c:pt>
              </c:strCache>
            </c:strRef>
          </c:tx>
          <c:val>
            <c:numRef>
              <c:f>Sheet2!$B$19:$B$25</c:f>
              <c:numCache>
                <c:formatCode>General</c:formatCode>
                <c:ptCount val="7"/>
                <c:pt idx="0">
                  <c:v>99.3</c:v>
                </c:pt>
                <c:pt idx="1">
                  <c:v>96.5</c:v>
                </c:pt>
                <c:pt idx="2">
                  <c:v>88.1</c:v>
                </c:pt>
                <c:pt idx="3">
                  <c:v>79.3</c:v>
                </c:pt>
                <c:pt idx="4">
                  <c:v>68.7</c:v>
                </c:pt>
                <c:pt idx="5">
                  <c:v>59.1</c:v>
                </c:pt>
                <c:pt idx="6">
                  <c:v>48.2</c:v>
                </c:pt>
              </c:numCache>
            </c:numRef>
          </c:val>
        </c:ser>
        <c:ser>
          <c:idx val="2"/>
          <c:order val="2"/>
          <c:tx>
            <c:strRef>
              <c:f>Sheet2!$C$18</c:f>
              <c:strCache>
                <c:ptCount val="1"/>
                <c:pt idx="0">
                  <c:v>SPPA-D Survival (%)</c:v>
                </c:pt>
              </c:strCache>
            </c:strRef>
          </c:tx>
          <c:val>
            <c:numRef>
              <c:f>Sheet2!$C$19:$C$25</c:f>
              <c:numCache>
                <c:formatCode>General</c:formatCode>
                <c:ptCount val="7"/>
                <c:pt idx="0">
                  <c:v>97.8</c:v>
                </c:pt>
                <c:pt idx="1">
                  <c:v>88.2</c:v>
                </c:pt>
                <c:pt idx="2">
                  <c:v>74.5</c:v>
                </c:pt>
                <c:pt idx="3">
                  <c:v>61.2</c:v>
                </c:pt>
                <c:pt idx="4">
                  <c:v>47.3</c:v>
                </c:pt>
                <c:pt idx="5">
                  <c:v>35.799999999999997</c:v>
                </c:pt>
                <c:pt idx="6">
                  <c:v>24.1</c:v>
                </c:pt>
              </c:numCache>
            </c:numRef>
          </c:val>
        </c:ser>
        <c:marker val="1"/>
        <c:axId val="123171968"/>
        <c:axId val="123173504"/>
      </c:lineChart>
      <c:catAx>
        <c:axId val="123171968"/>
        <c:scaling>
          <c:orientation val="minMax"/>
        </c:scaling>
        <c:axPos val="b"/>
        <c:majorTickMark val="none"/>
        <c:tickLblPos val="nextTo"/>
        <c:crossAx val="123173504"/>
        <c:crosses val="autoZero"/>
        <c:auto val="1"/>
        <c:lblAlgn val="ctr"/>
        <c:lblOffset val="100"/>
      </c:catAx>
      <c:valAx>
        <c:axId val="123173504"/>
        <c:scaling>
          <c:orientation val="minMax"/>
          <c:max val="100"/>
        </c:scaling>
        <c:axPos val="l"/>
        <c:majorGridlines/>
        <c:numFmt formatCode="0" sourceLinked="0"/>
        <c:majorTickMark val="in"/>
        <c:tickLblPos val="nextTo"/>
        <c:crossAx val="1231719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Algorithm Comparison (with Error 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Sheet2!$B$33</c:f>
              <c:strCache>
                <c:ptCount val="1"/>
                <c:pt idx="0">
                  <c:v>Mean Time (ms)</c:v>
                </c:pt>
              </c:strCache>
            </c:strRef>
          </c:tx>
          <c:cat>
            <c:strRef>
              <c:f>Sheet2!$A$34:$A$41</c:f>
              <c:strCache>
                <c:ptCount val="8"/>
                <c:pt idx="0">
                  <c:v>SPPA_DL</c:v>
                </c:pt>
                <c:pt idx="1">
                  <c:v>SPPA</c:v>
                </c:pt>
                <c:pt idx="2">
                  <c:v>A*</c:v>
                </c:pt>
                <c:pt idx="3">
                  <c:v>D*</c:v>
                </c:pt>
                <c:pt idx="4">
                  <c:v>KNN</c:v>
                </c:pt>
                <c:pt idx="5">
                  <c:v>PSO</c:v>
                </c:pt>
                <c:pt idx="6">
                  <c:v>GA</c:v>
                </c:pt>
                <c:pt idx="7">
                  <c:v>ACO</c:v>
                </c:pt>
              </c:strCache>
            </c:strRef>
          </c:cat>
          <c:val>
            <c:numRef>
              <c:f>Sheet2!$B$34:$B$41</c:f>
              <c:numCache>
                <c:formatCode>General</c:formatCode>
                <c:ptCount val="8"/>
                <c:pt idx="0">
                  <c:v>11.67</c:v>
                </c:pt>
                <c:pt idx="1">
                  <c:v>13.76</c:v>
                </c:pt>
                <c:pt idx="2">
                  <c:v>11.03</c:v>
                </c:pt>
                <c:pt idx="3">
                  <c:v>22.79</c:v>
                </c:pt>
                <c:pt idx="4">
                  <c:v>2.91</c:v>
                </c:pt>
                <c:pt idx="5">
                  <c:v>814.84</c:v>
                </c:pt>
                <c:pt idx="6">
                  <c:v>1382.24</c:v>
                </c:pt>
                <c:pt idx="7">
                  <c:v>3490.15</c:v>
                </c:pt>
              </c:numCache>
            </c:numRef>
          </c:val>
        </c:ser>
        <c:ser>
          <c:idx val="1"/>
          <c:order val="1"/>
          <c:tx>
            <c:strRef>
              <c:f>Sheet2!$C$33</c:f>
              <c:strCache>
                <c:ptCount val="1"/>
                <c:pt idx="0">
                  <c:v>Std Deviation</c:v>
                </c:pt>
              </c:strCache>
            </c:strRef>
          </c:tx>
          <c:cat>
            <c:strRef>
              <c:f>Sheet2!$A$34:$A$41</c:f>
              <c:strCache>
                <c:ptCount val="8"/>
                <c:pt idx="0">
                  <c:v>SPPA_DL</c:v>
                </c:pt>
                <c:pt idx="1">
                  <c:v>SPPA</c:v>
                </c:pt>
                <c:pt idx="2">
                  <c:v>A*</c:v>
                </c:pt>
                <c:pt idx="3">
                  <c:v>D*</c:v>
                </c:pt>
                <c:pt idx="4">
                  <c:v>KNN</c:v>
                </c:pt>
                <c:pt idx="5">
                  <c:v>PSO</c:v>
                </c:pt>
                <c:pt idx="6">
                  <c:v>GA</c:v>
                </c:pt>
                <c:pt idx="7">
                  <c:v>ACO</c:v>
                </c:pt>
              </c:strCache>
            </c:strRef>
          </c:cat>
          <c:val>
            <c:numRef>
              <c:f>Sheet2!$C$34:$C$41</c:f>
              <c:numCache>
                <c:formatCode>General</c:formatCode>
                <c:ptCount val="8"/>
                <c:pt idx="0">
                  <c:v>6.27</c:v>
                </c:pt>
                <c:pt idx="1">
                  <c:v>8.48</c:v>
                </c:pt>
                <c:pt idx="2">
                  <c:v>4.63</c:v>
                </c:pt>
                <c:pt idx="3">
                  <c:v>12.5</c:v>
                </c:pt>
                <c:pt idx="4">
                  <c:v>0.68</c:v>
                </c:pt>
                <c:pt idx="5">
                  <c:v>73.91</c:v>
                </c:pt>
                <c:pt idx="6">
                  <c:v>152</c:v>
                </c:pt>
                <c:pt idx="7">
                  <c:v>423</c:v>
                </c:pt>
              </c:numCache>
            </c:numRef>
          </c:val>
        </c:ser>
        <c:axId val="123224064"/>
        <c:axId val="123225600"/>
      </c:barChart>
      <c:catAx>
        <c:axId val="123224064"/>
        <c:scaling>
          <c:orientation val="minMax"/>
        </c:scaling>
        <c:axPos val="b"/>
        <c:majorTickMark val="none"/>
        <c:tickLblPos val="nextTo"/>
        <c:crossAx val="123225600"/>
        <c:crosses val="autoZero"/>
        <c:auto val="1"/>
        <c:lblAlgn val="ctr"/>
        <c:lblOffset val="100"/>
      </c:catAx>
      <c:valAx>
        <c:axId val="123225600"/>
        <c:scaling>
          <c:logBase val="10"/>
          <c:orientation val="minMax"/>
          <c:max val="3500"/>
        </c:scaling>
        <c:axPos val="l"/>
        <c:majorGridlines/>
        <c:numFmt formatCode="General" sourceLinked="0"/>
        <c:majorTickMark val="none"/>
        <c:tickLblPos val="nextTo"/>
        <c:crossAx val="123224064"/>
        <c:crosses val="autoZero"/>
        <c:crossBetween val="between"/>
        <c:dispUnits>
          <c:custUnit val="1000"/>
          <c:dispUnitsLbl>
            <c:layout/>
          </c:dispUnitsLbl>
        </c:dispUnits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2.635114360704913E-2"/>
          <c:y val="0.13897212389735689"/>
          <c:w val="0.9472977127859018"/>
          <c:h val="0.74897541477040164"/>
        </c:manualLayout>
      </c:layout>
      <c:barChart>
        <c:barDir val="bar"/>
        <c:grouping val="clustered"/>
        <c:ser>
          <c:idx val="0"/>
          <c:order val="0"/>
          <c:tx>
            <c:strRef>
              <c:f>Sheet2!$O$17</c:f>
              <c:strCache>
                <c:ptCount val="1"/>
                <c:pt idx="0">
                  <c:v>Impact on Success (%)</c:v>
                </c:pt>
              </c:strCache>
            </c:strRef>
          </c:tx>
          <c:cat>
            <c:strRef>
              <c:f>Sheet2!$N$18:$N$23</c:f>
              <c:strCache>
                <c:ptCount val="6"/>
                <c:pt idx="0">
                  <c:v>μ (Predicted Risk)</c:v>
                </c:pt>
                <c:pt idx="1">
                  <c:v>λ (Actual Risk)</c:v>
                </c:pt>
                <c:pt idx="2">
                  <c:v>T_win (Horizon)</c:v>
                </c:pt>
                <c:pt idx="3">
                  <c:v>γ (Spatial Sens.)</c:v>
                </c:pt>
                <c:pt idx="4">
                  <c:v>α (Distance Sens.)</c:v>
                </c:pt>
                <c:pt idx="5">
                  <c:v>β (Speed Sens.)</c:v>
                </c:pt>
              </c:strCache>
            </c:strRef>
          </c:cat>
          <c:val>
            <c:numRef>
              <c:f>Sheet2!$O$18:$O$23</c:f>
              <c:numCache>
                <c:formatCode>General</c:formatCode>
                <c:ptCount val="6"/>
                <c:pt idx="0">
                  <c:v>9.1999999999999993</c:v>
                </c:pt>
                <c:pt idx="1">
                  <c:v>7.8</c:v>
                </c:pt>
                <c:pt idx="2">
                  <c:v>6.4</c:v>
                </c:pt>
                <c:pt idx="3">
                  <c:v>5.2</c:v>
                </c:pt>
                <c:pt idx="4">
                  <c:v>4.8</c:v>
                </c:pt>
                <c:pt idx="5">
                  <c:v>3.1</c:v>
                </c:pt>
              </c:numCache>
            </c:numRef>
          </c:val>
        </c:ser>
        <c:ser>
          <c:idx val="1"/>
          <c:order val="1"/>
          <c:tx>
            <c:strRef>
              <c:f>Sheet2!$P$17</c:f>
              <c:strCache>
                <c:ptCount val="1"/>
                <c:pt idx="0">
                  <c:v>Impact on Time (%)</c:v>
                </c:pt>
              </c:strCache>
            </c:strRef>
          </c:tx>
          <c:cat>
            <c:strRef>
              <c:f>Sheet2!$N$18:$N$23</c:f>
              <c:strCache>
                <c:ptCount val="6"/>
                <c:pt idx="0">
                  <c:v>μ (Predicted Risk)</c:v>
                </c:pt>
                <c:pt idx="1">
                  <c:v>λ (Actual Risk)</c:v>
                </c:pt>
                <c:pt idx="2">
                  <c:v>T_win (Horizon)</c:v>
                </c:pt>
                <c:pt idx="3">
                  <c:v>γ (Spatial Sens.)</c:v>
                </c:pt>
                <c:pt idx="4">
                  <c:v>α (Distance Sens.)</c:v>
                </c:pt>
                <c:pt idx="5">
                  <c:v>β (Speed Sens.)</c:v>
                </c:pt>
              </c:strCache>
            </c:strRef>
          </c:cat>
          <c:val>
            <c:numRef>
              <c:f>Sheet2!$P$18:$P$23</c:f>
              <c:numCache>
                <c:formatCode>General</c:formatCode>
                <c:ptCount val="6"/>
                <c:pt idx="0">
                  <c:v>-8.6</c:v>
                </c:pt>
                <c:pt idx="1">
                  <c:v>-12.4</c:v>
                </c:pt>
                <c:pt idx="2">
                  <c:v>-9.8000000000000007</c:v>
                </c:pt>
                <c:pt idx="3">
                  <c:v>-7.8</c:v>
                </c:pt>
                <c:pt idx="4">
                  <c:v>-6.2</c:v>
                </c:pt>
                <c:pt idx="5">
                  <c:v>-4.8</c:v>
                </c:pt>
              </c:numCache>
            </c:numRef>
          </c:val>
        </c:ser>
        <c:gapWidth val="184"/>
        <c:overlap val="100"/>
        <c:axId val="123276672"/>
        <c:axId val="123282560"/>
      </c:barChart>
      <c:catAx>
        <c:axId val="123276672"/>
        <c:scaling>
          <c:orientation val="maxMin"/>
        </c:scaling>
        <c:axPos val="l"/>
        <c:numFmt formatCode="General" sourceLinked="0"/>
        <c:majorTickMark val="cross"/>
        <c:minorTickMark val="cross"/>
        <c:tickLblPos val="nextTo"/>
        <c:spPr>
          <a:ln w="25400" cap="sq" cmpd="sng">
            <a:solidFill>
              <a:srgbClr val="4F81BD"/>
            </a:solidFill>
          </a:ln>
          <a:effectLst/>
        </c:spPr>
        <c:txPr>
          <a:bodyPr rot="0" vert="horz" anchor="ctr" anchorCtr="0"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23282560"/>
        <c:crosses val="autoZero"/>
        <c:lblAlgn val="ctr"/>
        <c:lblOffset val="10"/>
        <c:tickLblSkip val="1"/>
      </c:catAx>
      <c:valAx>
        <c:axId val="123282560"/>
        <c:scaling>
          <c:orientation val="minMax"/>
        </c:scaling>
        <c:axPos val="b"/>
        <c:majorGridlines/>
        <c:numFmt formatCode="#,##0;[Red]#,##0" sourceLinked="0"/>
        <c:tickLblPos val="nextTo"/>
        <c:crossAx val="123276672"/>
        <c:crosses val="max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Learning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Sheet2!$N$34</c:f>
              <c:strCache>
                <c:ptCount val="1"/>
                <c:pt idx="0">
                  <c:v>Training Missions</c:v>
                </c:pt>
              </c:strCache>
            </c:strRef>
          </c:tx>
          <c:val>
            <c:numRef>
              <c:f>Sheet2!$N$35:$N$41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</c:numCache>
            </c:numRef>
          </c:val>
        </c:ser>
        <c:ser>
          <c:idx val="1"/>
          <c:order val="1"/>
          <c:tx>
            <c:strRef>
              <c:f>Sheet2!$O$34</c:f>
              <c:strCache>
                <c:ptCount val="1"/>
                <c:pt idx="0">
                  <c:v>Success Rate (%)</c:v>
                </c:pt>
              </c:strCache>
            </c:strRef>
          </c:tx>
          <c:val>
            <c:numRef>
              <c:f>Sheet2!$O$35:$O$41</c:f>
              <c:numCache>
                <c:formatCode>General</c:formatCode>
                <c:ptCount val="7"/>
                <c:pt idx="0">
                  <c:v>87</c:v>
                </c:pt>
                <c:pt idx="1">
                  <c:v>91</c:v>
                </c:pt>
                <c:pt idx="2">
                  <c:v>93</c:v>
                </c:pt>
                <c:pt idx="3">
                  <c:v>94</c:v>
                </c:pt>
                <c:pt idx="4">
                  <c:v>96</c:v>
                </c:pt>
                <c:pt idx="5">
                  <c:v>98</c:v>
                </c:pt>
                <c:pt idx="6">
                  <c:v>98.5</c:v>
                </c:pt>
              </c:numCache>
            </c:numRef>
          </c:val>
        </c:ser>
        <c:marker val="1"/>
        <c:axId val="123309056"/>
        <c:axId val="123343616"/>
      </c:lineChart>
      <c:lineChart>
        <c:grouping val="standard"/>
        <c:ser>
          <c:idx val="2"/>
          <c:order val="2"/>
          <c:tx>
            <c:strRef>
              <c:f>Sheet2!$P$34</c:f>
              <c:strCache>
                <c:ptCount val="1"/>
                <c:pt idx="0">
                  <c:v>Execution Time (s)</c:v>
                </c:pt>
              </c:strCache>
            </c:strRef>
          </c:tx>
          <c:val>
            <c:numRef>
              <c:f>Sheet2!$P$35:$P$41</c:f>
              <c:numCache>
                <c:formatCode>General</c:formatCode>
                <c:ptCount val="7"/>
                <c:pt idx="0">
                  <c:v>24.9</c:v>
                </c:pt>
                <c:pt idx="1">
                  <c:v>23.1</c:v>
                </c:pt>
                <c:pt idx="2">
                  <c:v>22.3</c:v>
                </c:pt>
                <c:pt idx="3">
                  <c:v>21.8</c:v>
                </c:pt>
                <c:pt idx="4">
                  <c:v>20.5</c:v>
                </c:pt>
                <c:pt idx="5">
                  <c:v>19.2</c:v>
                </c:pt>
                <c:pt idx="6">
                  <c:v>18.7</c:v>
                </c:pt>
              </c:numCache>
            </c:numRef>
          </c:val>
        </c:ser>
        <c:marker val="1"/>
        <c:axId val="123347328"/>
        <c:axId val="123345536"/>
      </c:lineChart>
      <c:catAx>
        <c:axId val="123309056"/>
        <c:scaling>
          <c:orientation val="minMax"/>
        </c:scaling>
        <c:axPos val="b"/>
        <c:majorTickMark val="none"/>
        <c:tickLblPos val="nextTo"/>
        <c:crossAx val="123343616"/>
        <c:crosses val="autoZero"/>
        <c:auto val="1"/>
        <c:lblAlgn val="ctr"/>
        <c:lblOffset val="100"/>
      </c:catAx>
      <c:valAx>
        <c:axId val="12334361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Training Missions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23309056"/>
        <c:crosses val="autoZero"/>
        <c:crossBetween val="between"/>
      </c:valAx>
      <c:valAx>
        <c:axId val="123345536"/>
        <c:scaling>
          <c:orientation val="minMax"/>
        </c:scaling>
        <c:axPos val="r"/>
        <c:numFmt formatCode="General" sourceLinked="1"/>
        <c:tickLblPos val="nextTo"/>
        <c:crossAx val="123347328"/>
        <c:crosses val="max"/>
        <c:crossBetween val="between"/>
      </c:valAx>
      <c:catAx>
        <c:axId val="123347328"/>
        <c:scaling>
          <c:orientation val="minMax"/>
        </c:scaling>
        <c:delete val="1"/>
        <c:axPos val="b"/>
        <c:tickLblPos val="nextTo"/>
        <c:crossAx val="123345536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strRef>
              <c:f>Sheet2!$N$49</c:f>
              <c:strCache>
                <c:ptCount val="1"/>
                <c:pt idx="0">
                  <c:v>Obstacles</c:v>
                </c:pt>
              </c:strCache>
            </c:strRef>
          </c:tx>
          <c:val>
            <c:numRef>
              <c:f>Sheet2!$N$50:$N$60</c:f>
              <c:numCache>
                <c:formatCode>General</c:formatCode>
                <c:ptCount val="11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30</c:v>
                </c:pt>
                <c:pt idx="10">
                  <c:v>35</c:v>
                </c:pt>
              </c:numCache>
            </c:numRef>
          </c:val>
        </c:ser>
        <c:ser>
          <c:idx val="1"/>
          <c:order val="1"/>
          <c:tx>
            <c:strRef>
              <c:f>Sheet2!$O$49</c:f>
              <c:strCache>
                <c:ptCount val="1"/>
                <c:pt idx="0">
                  <c:v>Efficiency (Success % per ms)</c:v>
                </c:pt>
              </c:strCache>
            </c:strRef>
          </c:tx>
          <c:val>
            <c:numRef>
              <c:f>Sheet2!$O$50:$O$60</c:f>
              <c:numCache>
                <c:formatCode>General</c:formatCode>
                <c:ptCount val="11"/>
                <c:pt idx="0">
                  <c:v>0.26</c:v>
                </c:pt>
                <c:pt idx="1">
                  <c:v>0.52</c:v>
                </c:pt>
                <c:pt idx="2">
                  <c:v>1.1200000000000001</c:v>
                </c:pt>
                <c:pt idx="3">
                  <c:v>1.21</c:v>
                </c:pt>
                <c:pt idx="4">
                  <c:v>1.29</c:v>
                </c:pt>
                <c:pt idx="5">
                  <c:v>1.4</c:v>
                </c:pt>
                <c:pt idx="6">
                  <c:v>1.57</c:v>
                </c:pt>
                <c:pt idx="7">
                  <c:v>1.65</c:v>
                </c:pt>
                <c:pt idx="8">
                  <c:v>1.69</c:v>
                </c:pt>
                <c:pt idx="9">
                  <c:v>1.91</c:v>
                </c:pt>
                <c:pt idx="10">
                  <c:v>2.12</c:v>
                </c:pt>
              </c:numCache>
            </c:numRef>
          </c:val>
        </c:ser>
        <c:dropLines/>
        <c:marker val="1"/>
        <c:axId val="123389824"/>
        <c:axId val="123473920"/>
      </c:lineChart>
      <c:catAx>
        <c:axId val="123389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="1"/>
                </a:pPr>
                <a:r>
                  <a:rPr lang="en-US" sz="1000" b="1" i="0" u="none" strike="noStrike" baseline="0"/>
                  <a:t>Number of Dynamic Obstacles</a:t>
                </a:r>
                <a:endParaRPr lang="en-US" b="1"/>
              </a:p>
            </c:rich>
          </c:tx>
          <c:layout/>
        </c:title>
        <c:majorTickMark val="none"/>
        <c:tickLblPos val="nextTo"/>
        <c:crossAx val="123473920"/>
        <c:crosses val="autoZero"/>
        <c:auto val="1"/>
        <c:lblAlgn val="ctr"/>
        <c:lblOffset val="100"/>
      </c:catAx>
      <c:valAx>
        <c:axId val="12347392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1"/>
                </a:pPr>
                <a:r>
                  <a:rPr lang="en-US" sz="1000" b="1" i="0" u="none" strike="noStrike" baseline="0"/>
                  <a:t>Efficiency (Success % per 1 ms Increase</a:t>
                </a:r>
                <a:endParaRPr lang="en-US" b="1"/>
              </a:p>
            </c:rich>
          </c:tx>
          <c:layout/>
        </c:title>
        <c:numFmt formatCode="General" sourceLinked="1"/>
        <c:tickLblPos val="nextTo"/>
        <c:crossAx val="12338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34760051880673"/>
          <c:y val="0.38408889090592796"/>
          <c:w val="0.40095979247730218"/>
          <c:h val="0.23182191563230389"/>
        </c:manualLayout>
      </c:layout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228598</xdr:colOff>
      <xdr:row>0</xdr:row>
      <xdr:rowOff>156882</xdr:rowOff>
    </xdr:from>
    <xdr:to>
      <xdr:col>18</xdr:col>
      <xdr:colOff>403411</xdr:colOff>
      <xdr:row>26</xdr:row>
      <xdr:rowOff>22412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11206</xdr:colOff>
      <xdr:row>26</xdr:row>
      <xdr:rowOff>170328</xdr:rowOff>
    </xdr:from>
    <xdr:to>
      <xdr:col>24</xdr:col>
      <xdr:colOff>280146</xdr:colOff>
      <xdr:row>60</xdr:row>
      <xdr:rowOff>134471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257735</xdr:colOff>
      <xdr:row>26</xdr:row>
      <xdr:rowOff>145677</xdr:rowOff>
    </xdr:from>
    <xdr:to>
      <xdr:col>8</xdr:col>
      <xdr:colOff>291354</xdr:colOff>
      <xdr:row>60</xdr:row>
      <xdr:rowOff>112058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24493</xdr:colOff>
      <xdr:row>0</xdr:row>
      <xdr:rowOff>161924</xdr:rowOff>
    </xdr:from>
    <xdr:to>
      <xdr:col>12</xdr:col>
      <xdr:colOff>243568</xdr:colOff>
      <xdr:row>14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481692</xdr:colOff>
      <xdr:row>16</xdr:row>
      <xdr:rowOff>9525</xdr:rowOff>
    </xdr:from>
    <xdr:to>
      <xdr:col>11</xdr:col>
      <xdr:colOff>597352</xdr:colOff>
      <xdr:row>30</xdr:row>
      <xdr:rowOff>66675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432707</xdr:colOff>
      <xdr:row>31</xdr:row>
      <xdr:rowOff>110218</xdr:rowOff>
    </xdr:from>
    <xdr:to>
      <xdr:col>11</xdr:col>
      <xdr:colOff>529318</xdr:colOff>
      <xdr:row>43</xdr:row>
      <xdr:rowOff>72118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95249</xdr:colOff>
      <xdr:row>12</xdr:row>
      <xdr:rowOff>85724</xdr:rowOff>
    </xdr:from>
    <xdr:to>
      <xdr:col>25</xdr:col>
      <xdr:colOff>209550</xdr:colOff>
      <xdr:row>30</xdr:row>
      <xdr:rowOff>123825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304800</xdr:colOff>
      <xdr:row>31</xdr:row>
      <xdr:rowOff>161925</xdr:rowOff>
    </xdr:from>
    <xdr:to>
      <xdr:col>23</xdr:col>
      <xdr:colOff>352425</xdr:colOff>
      <xdr:row>45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381001</xdr:colOff>
      <xdr:row>37</xdr:row>
      <xdr:rowOff>171451</xdr:rowOff>
    </xdr:from>
    <xdr:to>
      <xdr:col>21</xdr:col>
      <xdr:colOff>285751</xdr:colOff>
      <xdr:row>37</xdr:row>
      <xdr:rowOff>180974</xdr:rowOff>
    </xdr:to>
    <xdr:cxnSp macro="">
      <xdr:nvCxnSpPr>
        <xdr:cNvPr id="12" name="Straight Connector 11"/>
        <xdr:cNvCxnSpPr/>
      </xdr:nvCxnSpPr>
      <xdr:spPr>
        <a:xfrm rot="10800000" flipV="1">
          <a:off x="14468476" y="7562851"/>
          <a:ext cx="2600325" cy="9523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47</xdr:row>
      <xdr:rowOff>133349</xdr:rowOff>
    </xdr:from>
    <xdr:to>
      <xdr:col>23</xdr:col>
      <xdr:colOff>542925</xdr:colOff>
      <xdr:row>64</xdr:row>
      <xdr:rowOff>171449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zoomScale="55" zoomScaleNormal="55" workbookViewId="0">
      <selection activeCell="A30" sqref="A30"/>
    </sheetView>
  </sheetViews>
  <sheetFormatPr defaultRowHeight="15"/>
  <cols>
    <col min="1" max="1" width="27.140625" bestFit="1" customWidth="1"/>
    <col min="2" max="2" width="24" customWidth="1"/>
    <col min="3" max="3" width="23.7109375" customWidth="1"/>
    <col min="4" max="4" width="24.140625" customWidth="1"/>
    <col min="5" max="5" width="26" customWidth="1"/>
  </cols>
  <sheetData>
    <row r="1" spans="1:5" ht="29.25" thickBot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</row>
    <row r="2" spans="1:5" ht="15.75" thickBot="1">
      <c r="A2" s="4">
        <v>2</v>
      </c>
      <c r="B2" s="5">
        <v>0.99</v>
      </c>
      <c r="C2" s="5">
        <v>0.98</v>
      </c>
      <c r="D2" s="6">
        <v>0.01</v>
      </c>
      <c r="E2" s="6">
        <v>5.2999999999999999E-2</v>
      </c>
    </row>
    <row r="3" spans="1:5" ht="15.75" thickBot="1">
      <c r="A3" s="4">
        <v>5</v>
      </c>
      <c r="B3" s="5">
        <v>0.97</v>
      </c>
      <c r="C3" s="5">
        <v>0.94</v>
      </c>
      <c r="D3" s="6">
        <v>3.2000000000000001E-2</v>
      </c>
      <c r="E3" s="6">
        <v>9.4E-2</v>
      </c>
    </row>
    <row r="4" spans="1:5" ht="15.75" thickBot="1">
      <c r="A4" s="4">
        <v>9</v>
      </c>
      <c r="B4" s="5">
        <v>0.96</v>
      </c>
      <c r="C4" s="5">
        <v>0.87</v>
      </c>
      <c r="D4" s="6">
        <v>0.10299999999999999</v>
      </c>
      <c r="E4" s="6">
        <v>0.17699999999999999</v>
      </c>
    </row>
    <row r="5" spans="1:5" ht="15.75" thickBot="1">
      <c r="A5" s="4">
        <v>12</v>
      </c>
      <c r="B5" s="5">
        <v>0.91</v>
      </c>
      <c r="C5" s="5">
        <v>0.79</v>
      </c>
      <c r="D5" s="6">
        <v>0.152</v>
      </c>
      <c r="E5" s="6">
        <v>0.19800000000000001</v>
      </c>
    </row>
    <row r="6" spans="1:5" ht="15.75" thickBot="1">
      <c r="A6" s="4">
        <v>15</v>
      </c>
      <c r="B6" s="5">
        <v>0.86</v>
      </c>
      <c r="C6" s="5">
        <v>0.71</v>
      </c>
      <c r="D6" s="6">
        <v>0.21099999999999999</v>
      </c>
      <c r="E6" s="6">
        <v>0.21199999999999999</v>
      </c>
    </row>
    <row r="7" spans="1:5" ht="15.75" thickBot="1">
      <c r="A7" s="4">
        <v>18</v>
      </c>
      <c r="B7" s="5">
        <v>0.82</v>
      </c>
      <c r="C7" s="5">
        <v>0.64</v>
      </c>
      <c r="D7" s="6">
        <v>0.28100000000000003</v>
      </c>
      <c r="E7" s="6">
        <v>0.22800000000000001</v>
      </c>
    </row>
    <row r="8" spans="1:5" ht="15.75" thickBot="1">
      <c r="A8" s="4">
        <v>20</v>
      </c>
      <c r="B8" s="5">
        <v>0.78</v>
      </c>
      <c r="C8" s="5">
        <v>0.57999999999999996</v>
      </c>
      <c r="D8" s="6">
        <v>0.34499999999999997</v>
      </c>
      <c r="E8" s="6">
        <v>0.253</v>
      </c>
    </row>
    <row r="9" spans="1:5" ht="15.75" thickBot="1">
      <c r="A9" s="4">
        <v>22</v>
      </c>
      <c r="B9" s="5">
        <v>0.73</v>
      </c>
      <c r="C9" s="5">
        <v>0.52</v>
      </c>
      <c r="D9" s="6">
        <v>0.40400000000000003</v>
      </c>
      <c r="E9" s="6">
        <v>0.27800000000000002</v>
      </c>
    </row>
    <row r="10" spans="1:5" ht="15.75" thickBot="1">
      <c r="A10" s="4">
        <v>25</v>
      </c>
      <c r="B10" s="5">
        <v>0.68</v>
      </c>
      <c r="C10" s="5">
        <v>0.45</v>
      </c>
      <c r="D10" s="6">
        <v>0.51100000000000001</v>
      </c>
      <c r="E10" s="6">
        <v>0.30199999999999999</v>
      </c>
    </row>
    <row r="11" spans="1:5" ht="15.75" thickBot="1">
      <c r="A11" s="4">
        <v>30</v>
      </c>
      <c r="B11" s="5">
        <v>0.61</v>
      </c>
      <c r="C11" s="5">
        <v>0.37</v>
      </c>
      <c r="D11" s="6">
        <v>0.64900000000000002</v>
      </c>
      <c r="E11" s="6">
        <v>0.32700000000000001</v>
      </c>
    </row>
    <row r="12" spans="1:5" ht="15.75" thickBot="1">
      <c r="A12" s="4">
        <v>35</v>
      </c>
      <c r="B12" s="5">
        <v>0.54</v>
      </c>
      <c r="C12" s="5">
        <v>0.28999999999999998</v>
      </c>
      <c r="D12" s="6">
        <v>0.86199999999999999</v>
      </c>
      <c r="E12" s="6">
        <v>0.35799999999999998</v>
      </c>
    </row>
    <row r="13" spans="1:5" ht="15.75" thickBot="1">
      <c r="A13" s="4">
        <v>40</v>
      </c>
      <c r="B13" s="5">
        <v>0.47</v>
      </c>
      <c r="C13" s="5">
        <v>0.22</v>
      </c>
      <c r="D13" s="6">
        <v>1.1359999999999999</v>
      </c>
      <c r="E13" s="6">
        <v>0.38100000000000001</v>
      </c>
    </row>
    <row r="14" spans="1:5" ht="15.75" thickBot="1">
      <c r="A14" s="4">
        <v>45</v>
      </c>
      <c r="B14" s="5">
        <v>0.39</v>
      </c>
      <c r="C14" s="5">
        <v>0.16</v>
      </c>
      <c r="D14" s="6">
        <v>1.4379999999999999</v>
      </c>
      <c r="E14" s="6">
        <v>0.40300000000000002</v>
      </c>
    </row>
    <row r="15" spans="1:5" ht="15.75" thickBot="1">
      <c r="A15" s="4">
        <v>50</v>
      </c>
      <c r="B15" s="5">
        <v>0.32</v>
      </c>
      <c r="C15" s="5">
        <v>0.11</v>
      </c>
      <c r="D15" s="6">
        <v>1.909</v>
      </c>
      <c r="E15" s="6">
        <v>0.42399999999999999</v>
      </c>
    </row>
    <row r="16" spans="1:5" ht="15.75" thickBot="1">
      <c r="A16" s="4">
        <v>55</v>
      </c>
      <c r="B16" s="5">
        <v>0.28000000000000003</v>
      </c>
      <c r="C16" s="5">
        <v>0.08</v>
      </c>
      <c r="D16" s="6">
        <v>2.5</v>
      </c>
      <c r="E16" s="6">
        <v>0.435</v>
      </c>
    </row>
    <row r="17" spans="1:5" ht="15.75" thickBot="1">
      <c r="A17" s="4">
        <v>60</v>
      </c>
      <c r="B17" s="5">
        <v>0.24</v>
      </c>
      <c r="C17" s="5">
        <v>0.06</v>
      </c>
      <c r="D17" s="6">
        <v>3</v>
      </c>
      <c r="E17" s="6">
        <v>0.44800000000000001</v>
      </c>
    </row>
    <row r="18" spans="1:5" ht="15.75" thickBot="1">
      <c r="A18" s="4">
        <v>65</v>
      </c>
      <c r="B18" s="5">
        <v>0.2</v>
      </c>
      <c r="C18" s="5">
        <v>0.04</v>
      </c>
      <c r="D18" s="6">
        <v>4</v>
      </c>
      <c r="E18" s="6">
        <v>0.46200000000000002</v>
      </c>
    </row>
    <row r="19" spans="1:5" ht="15.75" thickBot="1">
      <c r="A19" s="4">
        <v>70</v>
      </c>
      <c r="B19" s="5">
        <v>0.17</v>
      </c>
      <c r="C19" s="5">
        <v>0.03</v>
      </c>
      <c r="D19" s="6">
        <v>4.6669999999999998</v>
      </c>
      <c r="E19" s="6">
        <v>0.47299999999999998</v>
      </c>
    </row>
    <row r="20" spans="1:5" ht="15.75" thickBot="1">
      <c r="A20" s="4">
        <v>75</v>
      </c>
      <c r="B20" s="5">
        <v>0.14000000000000001</v>
      </c>
      <c r="C20" s="5">
        <v>0.02</v>
      </c>
      <c r="D20" s="6">
        <v>6</v>
      </c>
      <c r="E20" s="6">
        <v>0.48299999999999998</v>
      </c>
    </row>
    <row r="21" spans="1:5" ht="15.75" thickBot="1">
      <c r="A21" s="4">
        <v>80</v>
      </c>
      <c r="B21" s="5">
        <v>0.11</v>
      </c>
      <c r="C21" s="5">
        <v>0.01</v>
      </c>
      <c r="D21" s="6">
        <v>10</v>
      </c>
      <c r="E21" s="6">
        <v>0.49299999999999999</v>
      </c>
    </row>
    <row r="22" spans="1:5" ht="15.75" thickBot="1">
      <c r="A22" s="4">
        <v>85</v>
      </c>
      <c r="B22" s="5">
        <v>0.09</v>
      </c>
      <c r="C22" s="6">
        <v>5.0000000000000001E-3</v>
      </c>
      <c r="D22" s="6">
        <v>17</v>
      </c>
      <c r="E22" s="6">
        <v>0.502</v>
      </c>
    </row>
    <row r="23" spans="1:5" ht="15.75" thickBot="1">
      <c r="A23" s="4">
        <v>90</v>
      </c>
      <c r="B23" s="5">
        <v>7.0000000000000007E-2</v>
      </c>
      <c r="C23" s="6">
        <v>2E-3</v>
      </c>
      <c r="D23" s="6">
        <v>34</v>
      </c>
      <c r="E23" s="6">
        <v>0.50900000000000001</v>
      </c>
    </row>
    <row r="24" spans="1:5" ht="15.75" thickBot="1">
      <c r="A24" s="4">
        <v>95</v>
      </c>
      <c r="B24" s="5">
        <v>0.05</v>
      </c>
      <c r="C24" s="6">
        <v>1E-3</v>
      </c>
      <c r="D24" s="6">
        <v>49</v>
      </c>
      <c r="E24" s="6">
        <v>0.51500000000000001</v>
      </c>
    </row>
    <row r="25" spans="1:5" ht="15.75" thickBot="1">
      <c r="A25" s="4">
        <v>100</v>
      </c>
      <c r="B25" s="5">
        <v>0.04</v>
      </c>
      <c r="C25" s="6">
        <v>0</v>
      </c>
      <c r="D25" s="3" t="s">
        <v>3</v>
      </c>
      <c r="E25" s="6">
        <v>0.52100000000000002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0"/>
  <sheetViews>
    <sheetView tabSelected="1" topLeftCell="A61" zoomScale="70" zoomScaleNormal="70" workbookViewId="0">
      <selection activeCell="J70" sqref="J70"/>
    </sheetView>
  </sheetViews>
  <sheetFormatPr defaultRowHeight="15"/>
  <cols>
    <col min="1" max="1" width="11.5703125" bestFit="1" customWidth="1"/>
    <col min="2" max="2" width="19.5703125" bestFit="1" customWidth="1"/>
    <col min="3" max="3" width="18.7109375" bestFit="1" customWidth="1"/>
    <col min="4" max="4" width="8.7109375" bestFit="1" customWidth="1"/>
    <col min="5" max="5" width="11.140625" bestFit="1" customWidth="1"/>
    <col min="6" max="6" width="11.42578125" customWidth="1"/>
    <col min="13" max="13" width="5.28515625" customWidth="1"/>
    <col min="14" max="14" width="22.140625" bestFit="1" customWidth="1"/>
    <col min="15" max="15" width="27.140625" bestFit="1" customWidth="1"/>
    <col min="16" max="16" width="18.28515625" customWidth="1"/>
    <col min="17" max="19" width="11.85546875" bestFit="1" customWidth="1"/>
    <col min="20" max="20" width="11" bestFit="1" customWidth="1"/>
    <col min="21" max="21" width="16.42578125" bestFit="1" customWidth="1"/>
    <col min="22" max="22" width="16.5703125" bestFit="1" customWidth="1"/>
  </cols>
  <sheetData>
    <row r="1" spans="1:20" ht="33.75" customHeight="1" thickBot="1">
      <c r="A1" s="38" t="s">
        <v>11</v>
      </c>
      <c r="B1" s="38"/>
      <c r="C1" s="38"/>
      <c r="D1" s="38"/>
      <c r="E1" s="38"/>
      <c r="N1" s="36" t="s">
        <v>32</v>
      </c>
      <c r="O1" s="36"/>
      <c r="P1" s="36"/>
      <c r="Q1" s="36"/>
      <c r="R1" s="36"/>
      <c r="S1" s="36"/>
    </row>
    <row r="2" spans="1:20" ht="15.75" thickBot="1">
      <c r="A2" s="8" t="s">
        <v>6</v>
      </c>
      <c r="B2" s="9" t="s">
        <v>7</v>
      </c>
      <c r="C2" s="9" t="s">
        <v>8</v>
      </c>
      <c r="D2" s="9" t="s">
        <v>9</v>
      </c>
      <c r="E2" s="10" t="s">
        <v>10</v>
      </c>
      <c r="O2" s="26" t="s">
        <v>27</v>
      </c>
      <c r="P2" s="27" t="s">
        <v>28</v>
      </c>
      <c r="Q2" s="27" t="s">
        <v>29</v>
      </c>
      <c r="R2" s="27" t="s">
        <v>30</v>
      </c>
      <c r="S2" s="28" t="s">
        <v>6</v>
      </c>
      <c r="T2" s="26" t="s">
        <v>31</v>
      </c>
    </row>
    <row r="3" spans="1:20">
      <c r="A3" s="11">
        <v>2</v>
      </c>
      <c r="B3" s="12">
        <v>99</v>
      </c>
      <c r="C3" s="12">
        <v>97.2</v>
      </c>
      <c r="D3" s="12">
        <v>100</v>
      </c>
      <c r="E3" s="13">
        <v>98</v>
      </c>
      <c r="N3" s="29" t="s">
        <v>27</v>
      </c>
      <c r="O3" s="23">
        <v>1</v>
      </c>
      <c r="P3" s="20">
        <v>0.87</v>
      </c>
      <c r="Q3" s="20">
        <v>-0.42</v>
      </c>
      <c r="R3" s="21">
        <v>-0.89</v>
      </c>
      <c r="S3" s="22">
        <v>0.81</v>
      </c>
      <c r="T3" s="21">
        <v>-0.45</v>
      </c>
    </row>
    <row r="4" spans="1:20">
      <c r="A4" s="11">
        <v>5</v>
      </c>
      <c r="B4" s="12">
        <v>97</v>
      </c>
      <c r="C4" s="12">
        <v>94.5</v>
      </c>
      <c r="D4" s="12">
        <v>99.5</v>
      </c>
      <c r="E4" s="13">
        <v>94</v>
      </c>
      <c r="N4" s="30" t="s">
        <v>28</v>
      </c>
      <c r="O4" s="24">
        <v>0.87</v>
      </c>
      <c r="P4" s="12">
        <v>1</v>
      </c>
      <c r="Q4" s="12">
        <v>-0.38</v>
      </c>
      <c r="R4" s="13">
        <v>-0.76</v>
      </c>
      <c r="S4" s="11">
        <v>0.72</v>
      </c>
      <c r="T4" s="13">
        <v>-0.38</v>
      </c>
    </row>
    <row r="5" spans="1:20">
      <c r="A5" s="11">
        <v>8</v>
      </c>
      <c r="B5" s="12">
        <v>96</v>
      </c>
      <c r="C5" s="12">
        <v>93.2</v>
      </c>
      <c r="D5" s="12">
        <v>98.8</v>
      </c>
      <c r="E5" s="13">
        <v>87</v>
      </c>
      <c r="N5" s="30" t="s">
        <v>29</v>
      </c>
      <c r="O5" s="24">
        <v>-0.42</v>
      </c>
      <c r="P5" s="12">
        <v>-0.38</v>
      </c>
      <c r="Q5" s="12">
        <v>1</v>
      </c>
      <c r="R5" s="13">
        <v>0.31</v>
      </c>
      <c r="S5" s="11">
        <v>-0.65</v>
      </c>
      <c r="T5" s="13">
        <v>0.74</v>
      </c>
    </row>
    <row r="6" spans="1:20">
      <c r="A6" s="11">
        <v>12</v>
      </c>
      <c r="B6" s="12">
        <v>91</v>
      </c>
      <c r="C6" s="12">
        <v>87.5</v>
      </c>
      <c r="D6" s="12">
        <v>94.5</v>
      </c>
      <c r="E6" s="13">
        <v>79</v>
      </c>
      <c r="N6" s="30" t="s">
        <v>30</v>
      </c>
      <c r="O6" s="24">
        <v>-0.89</v>
      </c>
      <c r="P6" s="12">
        <v>-0.76</v>
      </c>
      <c r="Q6" s="12">
        <v>0.31</v>
      </c>
      <c r="R6" s="13">
        <v>1</v>
      </c>
      <c r="S6" s="11">
        <v>-0.68</v>
      </c>
      <c r="T6" s="13">
        <v>0.32</v>
      </c>
    </row>
    <row r="7" spans="1:20">
      <c r="A7" s="11">
        <v>15</v>
      </c>
      <c r="B7" s="12">
        <v>86</v>
      </c>
      <c r="C7" s="12">
        <v>82.1</v>
      </c>
      <c r="D7" s="12">
        <v>89.9</v>
      </c>
      <c r="E7" s="13">
        <v>71</v>
      </c>
      <c r="N7" s="30" t="s">
        <v>6</v>
      </c>
      <c r="O7" s="24">
        <v>0.81</v>
      </c>
      <c r="P7" s="12">
        <v>0.72</v>
      </c>
      <c r="Q7" s="12">
        <v>-0.65</v>
      </c>
      <c r="R7" s="13">
        <v>-0.68</v>
      </c>
      <c r="S7" s="11">
        <v>1</v>
      </c>
      <c r="T7" s="13">
        <v>-0.28000000000000003</v>
      </c>
    </row>
    <row r="8" spans="1:20" ht="15.75" thickBot="1">
      <c r="A8" s="11">
        <v>18</v>
      </c>
      <c r="B8" s="12">
        <v>82</v>
      </c>
      <c r="C8" s="12">
        <v>77.8</v>
      </c>
      <c r="D8" s="12">
        <v>86.2</v>
      </c>
      <c r="E8" s="13">
        <v>64</v>
      </c>
      <c r="N8" s="31" t="s">
        <v>31</v>
      </c>
      <c r="O8" s="25">
        <v>-0.45</v>
      </c>
      <c r="P8" s="15">
        <v>-0.38</v>
      </c>
      <c r="Q8" s="15">
        <v>0.74</v>
      </c>
      <c r="R8" s="16">
        <v>0.32</v>
      </c>
      <c r="S8" s="14">
        <v>-0.28000000000000003</v>
      </c>
      <c r="T8" s="16">
        <v>1</v>
      </c>
    </row>
    <row r="9" spans="1:20">
      <c r="A9" s="11">
        <v>20</v>
      </c>
      <c r="B9" s="12">
        <v>78</v>
      </c>
      <c r="C9" s="12">
        <v>73.599999999999994</v>
      </c>
      <c r="D9" s="12">
        <v>82.4</v>
      </c>
      <c r="E9" s="13">
        <v>58</v>
      </c>
    </row>
    <row r="10" spans="1:20">
      <c r="A10" s="11">
        <v>22</v>
      </c>
      <c r="B10" s="12">
        <v>73</v>
      </c>
      <c r="C10" s="12">
        <v>68.400000000000006</v>
      </c>
      <c r="D10" s="12">
        <v>77.599999999999994</v>
      </c>
      <c r="E10" s="13">
        <v>52</v>
      </c>
    </row>
    <row r="11" spans="1:20">
      <c r="A11" s="11">
        <v>25</v>
      </c>
      <c r="B11" s="12">
        <v>68</v>
      </c>
      <c r="C11" s="12">
        <v>63.3</v>
      </c>
      <c r="D11" s="12">
        <v>72.7</v>
      </c>
      <c r="E11" s="13">
        <v>45</v>
      </c>
    </row>
    <row r="12" spans="1:20">
      <c r="A12" s="11">
        <v>28</v>
      </c>
      <c r="B12" s="12">
        <v>63</v>
      </c>
      <c r="C12" s="12">
        <v>58.2</v>
      </c>
      <c r="D12" s="12">
        <v>67.8</v>
      </c>
      <c r="E12" s="13">
        <v>39</v>
      </c>
    </row>
    <row r="13" spans="1:20">
      <c r="A13" s="11">
        <v>30</v>
      </c>
      <c r="B13" s="12">
        <v>61</v>
      </c>
      <c r="C13" s="12">
        <v>56.2</v>
      </c>
      <c r="D13" s="12">
        <v>65.8</v>
      </c>
      <c r="E13" s="13">
        <v>37</v>
      </c>
    </row>
    <row r="14" spans="1:20">
      <c r="A14" s="11">
        <v>32</v>
      </c>
      <c r="B14" s="12">
        <v>55</v>
      </c>
      <c r="C14" s="12">
        <v>50.2</v>
      </c>
      <c r="D14" s="12">
        <v>59.8</v>
      </c>
      <c r="E14" s="13">
        <v>31</v>
      </c>
    </row>
    <row r="15" spans="1:20" ht="15.75" thickBot="1">
      <c r="A15" s="14">
        <v>35</v>
      </c>
      <c r="B15" s="15">
        <v>50</v>
      </c>
      <c r="C15" s="15">
        <v>45.2</v>
      </c>
      <c r="D15" s="15">
        <v>54.8</v>
      </c>
      <c r="E15" s="16">
        <v>25</v>
      </c>
    </row>
    <row r="16" spans="1:20" ht="15.75" thickBot="1">
      <c r="N16" s="37" t="s">
        <v>33</v>
      </c>
      <c r="O16" s="37"/>
      <c r="P16" s="37"/>
      <c r="Q16" s="32"/>
      <c r="R16" s="32"/>
    </row>
    <row r="17" spans="1:16" ht="15.75" thickBot="1">
      <c r="A17" s="39" t="s">
        <v>12</v>
      </c>
      <c r="B17" s="39"/>
      <c r="C17" s="39"/>
      <c r="N17" s="17" t="s">
        <v>34</v>
      </c>
      <c r="O17" s="18" t="s">
        <v>35</v>
      </c>
      <c r="P17" s="19" t="s">
        <v>36</v>
      </c>
    </row>
    <row r="18" spans="1:16">
      <c r="A18" s="8" t="s">
        <v>6</v>
      </c>
      <c r="B18" s="9" t="s">
        <v>13</v>
      </c>
      <c r="C18" s="10" t="s">
        <v>14</v>
      </c>
      <c r="N18" s="33" t="s">
        <v>37</v>
      </c>
      <c r="O18" s="20">
        <v>9.1999999999999993</v>
      </c>
      <c r="P18" s="21">
        <v>-8.6</v>
      </c>
    </row>
    <row r="19" spans="1:16">
      <c r="A19" s="11">
        <v>5</v>
      </c>
      <c r="B19" s="12">
        <v>99.3</v>
      </c>
      <c r="C19" s="13">
        <v>97.8</v>
      </c>
      <c r="N19" s="34" t="s">
        <v>38</v>
      </c>
      <c r="O19" s="12">
        <v>7.8</v>
      </c>
      <c r="P19" s="13">
        <v>-12.4</v>
      </c>
    </row>
    <row r="20" spans="1:16">
      <c r="A20" s="11">
        <v>10</v>
      </c>
      <c r="B20" s="12">
        <v>96.5</v>
      </c>
      <c r="C20" s="13">
        <v>88.2</v>
      </c>
      <c r="N20" s="34" t="s">
        <v>39</v>
      </c>
      <c r="O20" s="12">
        <v>6.4</v>
      </c>
      <c r="P20" s="13">
        <v>-9.8000000000000007</v>
      </c>
    </row>
    <row r="21" spans="1:16">
      <c r="A21" s="11">
        <v>15</v>
      </c>
      <c r="B21" s="12">
        <v>88.1</v>
      </c>
      <c r="C21" s="13">
        <v>74.5</v>
      </c>
      <c r="N21" s="34" t="s">
        <v>40</v>
      </c>
      <c r="O21" s="12">
        <v>5.2</v>
      </c>
      <c r="P21" s="13">
        <v>-7.8</v>
      </c>
    </row>
    <row r="22" spans="1:16">
      <c r="A22" s="11">
        <v>20</v>
      </c>
      <c r="B22" s="12">
        <v>79.3</v>
      </c>
      <c r="C22" s="13">
        <v>61.2</v>
      </c>
      <c r="N22" s="34" t="s">
        <v>41</v>
      </c>
      <c r="O22" s="12">
        <v>4.8</v>
      </c>
      <c r="P22" s="13">
        <v>-6.2</v>
      </c>
    </row>
    <row r="23" spans="1:16" ht="15.75" thickBot="1">
      <c r="A23" s="11">
        <v>25</v>
      </c>
      <c r="B23" s="12">
        <v>68.7</v>
      </c>
      <c r="C23" s="13">
        <v>47.3</v>
      </c>
      <c r="N23" s="35" t="s">
        <v>42</v>
      </c>
      <c r="O23" s="15">
        <v>3.1</v>
      </c>
      <c r="P23" s="16">
        <v>-4.8</v>
      </c>
    </row>
    <row r="24" spans="1:16" ht="15.75" customHeight="1">
      <c r="A24" s="11">
        <v>30</v>
      </c>
      <c r="B24" s="12">
        <v>59.1</v>
      </c>
      <c r="C24" s="13">
        <v>35.799999999999997</v>
      </c>
      <c r="D24" s="7"/>
      <c r="E24" s="7"/>
    </row>
    <row r="25" spans="1:16" ht="15.75" thickBot="1">
      <c r="A25" s="14">
        <v>35</v>
      </c>
      <c r="B25" s="15">
        <v>48.2</v>
      </c>
      <c r="C25" s="16">
        <v>24.1</v>
      </c>
    </row>
    <row r="32" spans="1:16" ht="15.75" thickBot="1">
      <c r="A32" s="39" t="s">
        <v>15</v>
      </c>
      <c r="B32" s="39"/>
      <c r="C32" s="39"/>
    </row>
    <row r="33" spans="1:16" ht="15.75" thickBot="1">
      <c r="A33" s="8" t="s">
        <v>16</v>
      </c>
      <c r="B33" s="9" t="s">
        <v>17</v>
      </c>
      <c r="C33" s="10" t="s">
        <v>18</v>
      </c>
      <c r="N33" s="37" t="s">
        <v>46</v>
      </c>
      <c r="O33" s="37"/>
      <c r="P33" s="37"/>
    </row>
    <row r="34" spans="1:16" ht="15.75" thickBot="1">
      <c r="A34" s="11" t="s">
        <v>19</v>
      </c>
      <c r="B34" s="12">
        <v>11.67</v>
      </c>
      <c r="C34" s="13">
        <v>6.27</v>
      </c>
      <c r="N34" s="17" t="s">
        <v>43</v>
      </c>
      <c r="O34" s="18" t="s">
        <v>44</v>
      </c>
      <c r="P34" s="19" t="s">
        <v>45</v>
      </c>
    </row>
    <row r="35" spans="1:16">
      <c r="A35" s="11" t="s">
        <v>20</v>
      </c>
      <c r="B35" s="12">
        <v>13.76</v>
      </c>
      <c r="C35" s="13">
        <v>8.48</v>
      </c>
      <c r="N35" s="33">
        <v>0</v>
      </c>
      <c r="O35" s="20">
        <v>87</v>
      </c>
      <c r="P35" s="21">
        <v>24.9</v>
      </c>
    </row>
    <row r="36" spans="1:16">
      <c r="A36" s="11" t="s">
        <v>21</v>
      </c>
      <c r="B36" s="12">
        <v>11.03</v>
      </c>
      <c r="C36" s="13">
        <v>4.63</v>
      </c>
      <c r="N36" s="34">
        <v>50</v>
      </c>
      <c r="O36" s="12">
        <v>91</v>
      </c>
      <c r="P36" s="13">
        <v>23.1</v>
      </c>
    </row>
    <row r="37" spans="1:16">
      <c r="A37" s="11" t="s">
        <v>22</v>
      </c>
      <c r="B37" s="12">
        <v>22.79</v>
      </c>
      <c r="C37" s="13">
        <v>12.5</v>
      </c>
      <c r="N37" s="34">
        <v>100</v>
      </c>
      <c r="O37" s="12">
        <v>93</v>
      </c>
      <c r="P37" s="13">
        <v>22.3</v>
      </c>
    </row>
    <row r="38" spans="1:16" ht="18" customHeight="1">
      <c r="A38" s="11" t="s">
        <v>23</v>
      </c>
      <c r="B38" s="12">
        <v>2.91</v>
      </c>
      <c r="C38" s="13">
        <v>0.68</v>
      </c>
      <c r="D38" s="7"/>
      <c r="N38" s="34">
        <v>200</v>
      </c>
      <c r="O38" s="12">
        <v>94</v>
      </c>
      <c r="P38" s="13">
        <v>21.8</v>
      </c>
    </row>
    <row r="39" spans="1:16">
      <c r="A39" s="11" t="s">
        <v>24</v>
      </c>
      <c r="B39" s="12">
        <v>814.84</v>
      </c>
      <c r="C39" s="13">
        <v>73.91</v>
      </c>
      <c r="N39" s="34">
        <v>500</v>
      </c>
      <c r="O39" s="12">
        <v>96</v>
      </c>
      <c r="P39" s="13">
        <v>20.5</v>
      </c>
    </row>
    <row r="40" spans="1:16">
      <c r="A40" s="11" t="s">
        <v>25</v>
      </c>
      <c r="B40" s="12">
        <v>1382.24</v>
      </c>
      <c r="C40" s="13">
        <v>152</v>
      </c>
      <c r="N40" s="34">
        <v>1000</v>
      </c>
      <c r="O40" s="12">
        <v>98</v>
      </c>
      <c r="P40" s="13">
        <v>19.2</v>
      </c>
    </row>
    <row r="41" spans="1:16" ht="15.75" thickBot="1">
      <c r="A41" s="14" t="s">
        <v>26</v>
      </c>
      <c r="B41" s="15">
        <v>3490.15</v>
      </c>
      <c r="C41" s="16">
        <v>423</v>
      </c>
      <c r="N41" s="35">
        <v>2000</v>
      </c>
      <c r="O41" s="15">
        <v>98.5</v>
      </c>
      <c r="P41" s="16">
        <v>18.7</v>
      </c>
    </row>
    <row r="48" spans="1:16" ht="15.75" thickBot="1">
      <c r="N48" s="37" t="s">
        <v>47</v>
      </c>
      <c r="O48" s="37"/>
      <c r="P48" s="32"/>
    </row>
    <row r="49" spans="14:15" ht="15.75" thickBot="1">
      <c r="N49" s="17" t="s">
        <v>6</v>
      </c>
      <c r="O49" s="19" t="s">
        <v>48</v>
      </c>
    </row>
    <row r="50" spans="14:15">
      <c r="N50" s="33">
        <v>2</v>
      </c>
      <c r="O50" s="21">
        <v>0.26</v>
      </c>
    </row>
    <row r="51" spans="14:15">
      <c r="N51" s="34">
        <v>5</v>
      </c>
      <c r="O51" s="13">
        <v>0.52</v>
      </c>
    </row>
    <row r="52" spans="14:15">
      <c r="N52" s="34">
        <v>8</v>
      </c>
      <c r="O52" s="13">
        <v>1.1200000000000001</v>
      </c>
    </row>
    <row r="53" spans="14:15">
      <c r="N53" s="34">
        <v>12</v>
      </c>
      <c r="O53" s="13">
        <v>1.21</v>
      </c>
    </row>
    <row r="54" spans="14:15">
      <c r="N54" s="34">
        <v>15</v>
      </c>
      <c r="O54" s="13">
        <v>1.29</v>
      </c>
    </row>
    <row r="55" spans="14:15">
      <c r="N55" s="34">
        <v>18</v>
      </c>
      <c r="O55" s="13">
        <v>1.4</v>
      </c>
    </row>
    <row r="56" spans="14:15">
      <c r="N56" s="34">
        <v>20</v>
      </c>
      <c r="O56" s="13">
        <v>1.57</v>
      </c>
    </row>
    <row r="57" spans="14:15">
      <c r="N57" s="34">
        <v>22</v>
      </c>
      <c r="O57" s="13">
        <v>1.65</v>
      </c>
    </row>
    <row r="58" spans="14:15">
      <c r="N58" s="34">
        <v>25</v>
      </c>
      <c r="O58" s="13">
        <v>1.69</v>
      </c>
    </row>
    <row r="59" spans="14:15">
      <c r="N59" s="34">
        <v>30</v>
      </c>
      <c r="O59" s="13">
        <v>1.91</v>
      </c>
    </row>
    <row r="60" spans="14:15" ht="15.75" thickBot="1">
      <c r="N60" s="35">
        <v>35</v>
      </c>
      <c r="O60" s="16">
        <v>2.12</v>
      </c>
    </row>
    <row r="67" spans="1:22" ht="15.75" customHeight="1"/>
    <row r="68" spans="1:22" ht="28.5" customHeight="1" thickBot="1">
      <c r="N68" s="44" t="s">
        <v>62</v>
      </c>
      <c r="O68" s="44"/>
      <c r="P68" s="44"/>
      <c r="Q68" s="44"/>
      <c r="R68" s="44"/>
      <c r="S68" s="44"/>
    </row>
    <row r="69" spans="1:22" ht="26.25" customHeight="1" thickBot="1">
      <c r="B69" s="47" t="s">
        <v>73</v>
      </c>
      <c r="C69" s="47"/>
      <c r="D69" s="47"/>
      <c r="N69" s="67" t="s">
        <v>16</v>
      </c>
      <c r="O69" s="68" t="s">
        <v>55</v>
      </c>
      <c r="P69" s="68" t="s">
        <v>56</v>
      </c>
      <c r="Q69" s="68" t="s">
        <v>57</v>
      </c>
      <c r="R69" s="68" t="s">
        <v>58</v>
      </c>
      <c r="S69" s="68" t="s">
        <v>59</v>
      </c>
    </row>
    <row r="70" spans="1:22" ht="27" customHeight="1" thickBot="1">
      <c r="A70" s="48" t="s">
        <v>16</v>
      </c>
      <c r="B70" s="49" t="s">
        <v>74</v>
      </c>
      <c r="C70" s="50"/>
      <c r="D70" s="49" t="s">
        <v>75</v>
      </c>
      <c r="E70" s="51"/>
      <c r="F70" s="52"/>
      <c r="N70" s="72" t="s">
        <v>19</v>
      </c>
      <c r="O70" s="21">
        <v>20.22</v>
      </c>
      <c r="P70" s="33">
        <v>18.100000000000001</v>
      </c>
      <c r="Q70" s="21">
        <v>16.27</v>
      </c>
      <c r="R70" s="33">
        <v>18.760000000000002</v>
      </c>
      <c r="S70" s="21">
        <v>16.34</v>
      </c>
    </row>
    <row r="71" spans="1:22" ht="16.5">
      <c r="A71" s="72" t="s">
        <v>19</v>
      </c>
      <c r="B71" s="73" t="s">
        <v>76</v>
      </c>
      <c r="C71" s="73"/>
      <c r="D71" s="73" t="s">
        <v>77</v>
      </c>
      <c r="E71" s="73"/>
      <c r="F71" s="74"/>
      <c r="N71" s="70" t="s">
        <v>20</v>
      </c>
      <c r="O71" s="13">
        <v>25.27</v>
      </c>
      <c r="P71" s="34">
        <v>21.33</v>
      </c>
      <c r="Q71" s="13">
        <v>19.489999999999998</v>
      </c>
      <c r="R71" s="34">
        <v>18.190000000000001</v>
      </c>
      <c r="S71" s="13">
        <v>26.93</v>
      </c>
    </row>
    <row r="72" spans="1:22" ht="16.5" customHeight="1">
      <c r="A72" s="70" t="s">
        <v>20</v>
      </c>
      <c r="B72" s="75" t="s">
        <v>78</v>
      </c>
      <c r="C72" s="76"/>
      <c r="D72" s="77" t="s">
        <v>79</v>
      </c>
      <c r="E72" s="77"/>
      <c r="F72" s="78"/>
      <c r="N72" s="70" t="s">
        <v>60</v>
      </c>
      <c r="O72" s="13">
        <v>22.24</v>
      </c>
      <c r="P72" s="34">
        <v>13.29</v>
      </c>
      <c r="Q72" s="13">
        <v>20.97</v>
      </c>
      <c r="R72" s="34">
        <v>11.36</v>
      </c>
      <c r="S72" s="13">
        <v>10.45</v>
      </c>
    </row>
    <row r="73" spans="1:22" ht="16.5" customHeight="1">
      <c r="A73" s="70" t="s">
        <v>21</v>
      </c>
      <c r="B73" s="76" t="s">
        <v>80</v>
      </c>
      <c r="C73" s="76"/>
      <c r="D73" s="77" t="s">
        <v>81</v>
      </c>
      <c r="E73" s="77"/>
      <c r="F73" s="78"/>
      <c r="N73" s="70" t="s">
        <v>61</v>
      </c>
      <c r="O73" s="13">
        <v>59.81</v>
      </c>
      <c r="P73" s="34">
        <v>43.36</v>
      </c>
      <c r="Q73" s="13">
        <v>25.7</v>
      </c>
      <c r="R73" s="34">
        <v>22.46</v>
      </c>
      <c r="S73" s="13">
        <v>25.07</v>
      </c>
    </row>
    <row r="74" spans="1:22" ht="16.5" customHeight="1">
      <c r="A74" s="70" t="s">
        <v>22</v>
      </c>
      <c r="B74" s="76" t="s">
        <v>82</v>
      </c>
      <c r="C74" s="76"/>
      <c r="D74" s="77" t="s">
        <v>83</v>
      </c>
      <c r="E74" s="77"/>
      <c r="F74" s="78"/>
      <c r="N74" s="70" t="s">
        <v>23</v>
      </c>
      <c r="O74" s="13">
        <v>10.3</v>
      </c>
      <c r="P74" s="34">
        <v>1.52</v>
      </c>
      <c r="Q74" s="13">
        <v>1.4</v>
      </c>
      <c r="R74" s="34">
        <v>1.53</v>
      </c>
      <c r="S74" s="13">
        <v>3.15</v>
      </c>
    </row>
    <row r="75" spans="1:22" ht="16.5" customHeight="1">
      <c r="A75" s="70" t="s">
        <v>23</v>
      </c>
      <c r="B75" s="76" t="s">
        <v>84</v>
      </c>
      <c r="C75" s="76"/>
      <c r="D75" s="77" t="s">
        <v>85</v>
      </c>
      <c r="E75" s="77"/>
      <c r="F75" s="78"/>
      <c r="N75" s="70" t="s">
        <v>26</v>
      </c>
      <c r="O75" s="13">
        <v>3224.49</v>
      </c>
      <c r="P75" s="34">
        <v>2999.9</v>
      </c>
      <c r="Q75" s="13">
        <v>3005.27</v>
      </c>
      <c r="R75" s="34">
        <v>3055.54</v>
      </c>
      <c r="S75" s="13">
        <v>3050.48</v>
      </c>
    </row>
    <row r="76" spans="1:22" ht="17.25" customHeight="1" thickBot="1">
      <c r="A76" s="70" t="s">
        <v>26</v>
      </c>
      <c r="B76" s="76" t="s">
        <v>86</v>
      </c>
      <c r="C76" s="76"/>
      <c r="D76" s="77" t="s">
        <v>87</v>
      </c>
      <c r="E76" s="77"/>
      <c r="F76" s="78"/>
      <c r="N76" s="70" t="s">
        <v>24</v>
      </c>
      <c r="O76" s="16">
        <v>892.17</v>
      </c>
      <c r="P76" s="35">
        <v>891.45</v>
      </c>
      <c r="Q76" s="16">
        <v>862.09</v>
      </c>
      <c r="R76" s="35">
        <v>922.5</v>
      </c>
      <c r="S76" s="16">
        <v>875.51</v>
      </c>
    </row>
    <row r="77" spans="1:22" ht="16.5" customHeight="1">
      <c r="A77" s="70" t="s">
        <v>24</v>
      </c>
      <c r="B77" s="76" t="s">
        <v>88</v>
      </c>
      <c r="C77" s="76"/>
      <c r="D77" s="77" t="s">
        <v>89</v>
      </c>
      <c r="E77" s="77"/>
      <c r="F77" s="78"/>
    </row>
    <row r="78" spans="1:22" ht="16.5" customHeight="1" thickBot="1">
      <c r="A78" s="71" t="s">
        <v>25</v>
      </c>
      <c r="B78" s="79" t="s">
        <v>90</v>
      </c>
      <c r="C78" s="79"/>
      <c r="D78" s="80" t="s">
        <v>91</v>
      </c>
      <c r="E78" s="80"/>
      <c r="F78" s="81"/>
    </row>
    <row r="79" spans="1:22" ht="30" customHeight="1" thickBot="1">
      <c r="N79" s="43" t="s">
        <v>63</v>
      </c>
      <c r="O79" s="43"/>
      <c r="P79" s="43"/>
      <c r="Q79" s="43"/>
      <c r="R79" s="43"/>
      <c r="S79" s="43"/>
      <c r="T79" s="43"/>
      <c r="U79" s="43"/>
      <c r="V79" s="43"/>
    </row>
    <row r="80" spans="1:22" ht="26.25" customHeight="1" thickBot="1">
      <c r="N80" s="67" t="s">
        <v>16</v>
      </c>
      <c r="O80" s="68" t="s">
        <v>50</v>
      </c>
      <c r="P80" s="68" t="s">
        <v>51</v>
      </c>
      <c r="Q80" s="68" t="s">
        <v>52</v>
      </c>
      <c r="R80" s="68" t="s">
        <v>53</v>
      </c>
      <c r="S80" s="68" t="s">
        <v>54</v>
      </c>
      <c r="T80" s="68" t="s">
        <v>64</v>
      </c>
      <c r="U80" s="68" t="s">
        <v>65</v>
      </c>
      <c r="V80" s="69" t="s">
        <v>66</v>
      </c>
    </row>
    <row r="81" spans="14:22" ht="16.5">
      <c r="N81" s="64" t="s">
        <v>19</v>
      </c>
      <c r="O81" s="65">
        <v>16.27</v>
      </c>
      <c r="P81" s="65">
        <v>16.309999999999999</v>
      </c>
      <c r="Q81" s="65">
        <v>18.100000000000001</v>
      </c>
      <c r="R81" s="65">
        <v>19.489999999999998</v>
      </c>
      <c r="S81" s="65">
        <v>20.22</v>
      </c>
      <c r="T81" s="65">
        <v>3.18</v>
      </c>
      <c r="U81" s="65">
        <v>16.27</v>
      </c>
      <c r="V81" s="66">
        <v>20.22</v>
      </c>
    </row>
    <row r="82" spans="14:22" ht="16.5">
      <c r="N82" s="62" t="s">
        <v>20</v>
      </c>
      <c r="O82" s="42">
        <v>18.190000000000001</v>
      </c>
      <c r="P82" s="42">
        <v>18.84</v>
      </c>
      <c r="Q82" s="42">
        <v>21.33</v>
      </c>
      <c r="R82" s="42">
        <v>26.1</v>
      </c>
      <c r="S82" s="42">
        <v>26.93</v>
      </c>
      <c r="T82" s="42">
        <v>7.26</v>
      </c>
      <c r="U82" s="42">
        <v>18.190000000000001</v>
      </c>
      <c r="V82" s="59">
        <v>26.93</v>
      </c>
    </row>
    <row r="83" spans="14:22" ht="16.5">
      <c r="N83" s="62" t="s">
        <v>60</v>
      </c>
      <c r="O83" s="42">
        <v>10.45</v>
      </c>
      <c r="P83" s="42">
        <v>10.91</v>
      </c>
      <c r="Q83" s="42">
        <v>13.29</v>
      </c>
      <c r="R83" s="42">
        <v>21.61</v>
      </c>
      <c r="S83" s="42">
        <v>22.24</v>
      </c>
      <c r="T83" s="42">
        <v>10.7</v>
      </c>
      <c r="U83" s="42">
        <v>10.45</v>
      </c>
      <c r="V83" s="59">
        <v>22.24</v>
      </c>
    </row>
    <row r="84" spans="14:22" ht="16.5">
      <c r="N84" s="62" t="s">
        <v>61</v>
      </c>
      <c r="O84" s="42">
        <v>22.46</v>
      </c>
      <c r="P84" s="42">
        <v>23.77</v>
      </c>
      <c r="Q84" s="42">
        <v>25.7</v>
      </c>
      <c r="R84" s="42">
        <v>51.59</v>
      </c>
      <c r="S84" s="42">
        <v>59.81</v>
      </c>
      <c r="T84" s="42">
        <v>27.82</v>
      </c>
      <c r="U84" s="42">
        <v>22.46</v>
      </c>
      <c r="V84" s="59">
        <v>59.81</v>
      </c>
    </row>
    <row r="85" spans="14:22" ht="16.5">
      <c r="N85" s="62" t="s">
        <v>23</v>
      </c>
      <c r="O85" s="42">
        <v>1.4</v>
      </c>
      <c r="P85" s="42">
        <v>1.46</v>
      </c>
      <c r="Q85" s="42">
        <v>1.53</v>
      </c>
      <c r="R85" s="42">
        <v>6.73</v>
      </c>
      <c r="S85" s="42">
        <v>10.3</v>
      </c>
      <c r="T85" s="42">
        <v>5.27</v>
      </c>
      <c r="U85" s="42">
        <v>1.4</v>
      </c>
      <c r="V85" s="59">
        <v>10.3</v>
      </c>
    </row>
    <row r="86" spans="14:22" ht="16.5">
      <c r="N86" s="62" t="s">
        <v>26</v>
      </c>
      <c r="O86" s="42">
        <v>2999.9</v>
      </c>
      <c r="P86" s="42">
        <v>3002.59</v>
      </c>
      <c r="Q86" s="42">
        <v>3050.48</v>
      </c>
      <c r="R86" s="42">
        <v>3140.02</v>
      </c>
      <c r="S86" s="42">
        <v>3224.49</v>
      </c>
      <c r="T86" s="42">
        <v>137.43</v>
      </c>
      <c r="U86" s="42">
        <v>2999.9</v>
      </c>
      <c r="V86" s="59">
        <v>3224.49</v>
      </c>
    </row>
    <row r="87" spans="14:22" ht="16.5">
      <c r="N87" s="62" t="s">
        <v>24</v>
      </c>
      <c r="O87" s="42">
        <v>862.09</v>
      </c>
      <c r="P87" s="42">
        <v>868.8</v>
      </c>
      <c r="Q87" s="42">
        <v>891.45</v>
      </c>
      <c r="R87" s="42">
        <v>907.34</v>
      </c>
      <c r="S87" s="42">
        <v>922.5</v>
      </c>
      <c r="T87" s="42">
        <v>38.54</v>
      </c>
      <c r="U87" s="42">
        <v>862.09</v>
      </c>
      <c r="V87" s="59">
        <v>922.5</v>
      </c>
    </row>
    <row r="88" spans="14:22" ht="17.25" thickBot="1">
      <c r="N88" s="63" t="s">
        <v>25</v>
      </c>
      <c r="O88" s="60">
        <v>1505.11</v>
      </c>
      <c r="P88" s="60">
        <v>1508.68</v>
      </c>
      <c r="Q88" s="60">
        <v>1534.75</v>
      </c>
      <c r="R88" s="60">
        <v>1549.78</v>
      </c>
      <c r="S88" s="60">
        <v>1562.59</v>
      </c>
      <c r="T88" s="60">
        <v>41.1</v>
      </c>
      <c r="U88" s="60">
        <v>1505.11</v>
      </c>
      <c r="V88" s="61">
        <v>1562.59</v>
      </c>
    </row>
    <row r="90" spans="14:22" ht="25.5" customHeight="1" thickBot="1">
      <c r="N90" s="43" t="s">
        <v>72</v>
      </c>
      <c r="O90" s="43"/>
      <c r="P90" s="43"/>
      <c r="Q90" s="43"/>
      <c r="R90" s="43"/>
      <c r="S90" s="43"/>
      <c r="T90" s="43"/>
      <c r="U90" s="43"/>
      <c r="V90" s="43"/>
    </row>
    <row r="91" spans="14:22" ht="16.5">
      <c r="N91" s="56" t="s">
        <v>49</v>
      </c>
      <c r="O91" s="57" t="s">
        <v>19</v>
      </c>
      <c r="P91" s="57" t="s">
        <v>20</v>
      </c>
      <c r="Q91" s="57" t="s">
        <v>21</v>
      </c>
      <c r="R91" s="57" t="s">
        <v>22</v>
      </c>
      <c r="S91" s="57" t="s">
        <v>23</v>
      </c>
      <c r="T91" s="57" t="s">
        <v>26</v>
      </c>
      <c r="U91" s="57" t="s">
        <v>24</v>
      </c>
      <c r="V91" s="58" t="s">
        <v>25</v>
      </c>
    </row>
    <row r="92" spans="14:22" ht="16.5">
      <c r="N92" s="64" t="s">
        <v>65</v>
      </c>
      <c r="O92" s="42">
        <v>16.27</v>
      </c>
      <c r="P92" s="42">
        <v>18.190000000000001</v>
      </c>
      <c r="Q92" s="42">
        <v>10.45</v>
      </c>
      <c r="R92" s="42">
        <v>22.46</v>
      </c>
      <c r="S92" s="42">
        <v>1.4</v>
      </c>
      <c r="T92" s="42">
        <v>2999.9</v>
      </c>
      <c r="U92" s="42">
        <v>862.09</v>
      </c>
      <c r="V92" s="59">
        <v>1505.11</v>
      </c>
    </row>
    <row r="93" spans="14:22" ht="20.25" customHeight="1">
      <c r="N93" s="62" t="s">
        <v>67</v>
      </c>
      <c r="O93" s="42">
        <v>0.04</v>
      </c>
      <c r="P93" s="42">
        <v>0.65</v>
      </c>
      <c r="Q93" s="42">
        <v>0.46</v>
      </c>
      <c r="R93" s="42">
        <v>1.31</v>
      </c>
      <c r="S93" s="42">
        <v>0.06</v>
      </c>
      <c r="T93" s="42">
        <v>2.69</v>
      </c>
      <c r="U93" s="42">
        <v>6.71</v>
      </c>
      <c r="V93" s="59">
        <v>3.57</v>
      </c>
    </row>
    <row r="94" spans="14:22" ht="16.5">
      <c r="N94" s="62" t="s">
        <v>68</v>
      </c>
      <c r="O94" s="42">
        <v>1.79</v>
      </c>
      <c r="P94" s="42">
        <v>2.4900000000000002</v>
      </c>
      <c r="Q94" s="42">
        <v>2.38</v>
      </c>
      <c r="R94" s="42">
        <v>1.93</v>
      </c>
      <c r="S94" s="42">
        <v>7.0000000000000007E-2</v>
      </c>
      <c r="T94" s="42">
        <v>47.89</v>
      </c>
      <c r="U94" s="42">
        <v>22.65</v>
      </c>
      <c r="V94" s="59">
        <v>26.07</v>
      </c>
    </row>
    <row r="95" spans="14:22" ht="16.5">
      <c r="N95" s="62" t="s">
        <v>69</v>
      </c>
      <c r="O95" s="42">
        <v>1.39</v>
      </c>
      <c r="P95" s="42">
        <v>4.7699999999999996</v>
      </c>
      <c r="Q95" s="42">
        <v>8.32</v>
      </c>
      <c r="R95" s="42">
        <v>25.89</v>
      </c>
      <c r="S95" s="42">
        <v>5.2</v>
      </c>
      <c r="T95" s="42">
        <v>89.54</v>
      </c>
      <c r="U95" s="42">
        <v>15.89</v>
      </c>
      <c r="V95" s="59">
        <v>15.03</v>
      </c>
    </row>
    <row r="96" spans="14:22" ht="17.25" thickBot="1">
      <c r="N96" s="62" t="s">
        <v>70</v>
      </c>
      <c r="O96" s="60">
        <v>0.73</v>
      </c>
      <c r="P96" s="60">
        <v>0.83</v>
      </c>
      <c r="Q96" s="60">
        <v>0.63</v>
      </c>
      <c r="R96" s="60">
        <v>8.2200000000000006</v>
      </c>
      <c r="S96" s="60">
        <v>3.57</v>
      </c>
      <c r="T96" s="60">
        <v>84.47</v>
      </c>
      <c r="U96" s="60">
        <v>15.16</v>
      </c>
      <c r="V96" s="61">
        <v>12.81</v>
      </c>
    </row>
    <row r="97" spans="14:22" ht="18.75" customHeight="1" thickBot="1">
      <c r="N97" s="53" t="s">
        <v>71</v>
      </c>
      <c r="O97" s="54">
        <v>20.22</v>
      </c>
      <c r="P97" s="54">
        <v>26.93</v>
      </c>
      <c r="Q97" s="54">
        <v>22.24</v>
      </c>
      <c r="R97" s="54">
        <v>59.81</v>
      </c>
      <c r="S97" s="54">
        <v>10.3</v>
      </c>
      <c r="T97" s="54">
        <v>3224.49</v>
      </c>
      <c r="U97" s="54">
        <v>922.5</v>
      </c>
      <c r="V97" s="55">
        <v>1562.59</v>
      </c>
    </row>
    <row r="98" spans="14:22" ht="9.75" customHeight="1">
      <c r="N98" s="45"/>
    </row>
    <row r="99" spans="14:22" ht="25.5">
      <c r="N99" s="46"/>
    </row>
    <row r="100" spans="14:22">
      <c r="N100" s="45"/>
    </row>
    <row r="102" spans="14:22" ht="16.5">
      <c r="Q102" s="40"/>
    </row>
    <row r="103" spans="14:22" ht="16.5">
      <c r="Q103" s="41"/>
    </row>
    <row r="104" spans="14:22" ht="16.5">
      <c r="Q104" s="41"/>
    </row>
    <row r="105" spans="14:22" ht="16.5">
      <c r="Q105" s="41"/>
    </row>
    <row r="106" spans="14:22" ht="16.5">
      <c r="Q106" s="41"/>
    </row>
    <row r="107" spans="14:22" ht="16.5">
      <c r="Q107" s="41"/>
    </row>
    <row r="108" spans="14:22" ht="16.5">
      <c r="Q108" s="41"/>
    </row>
    <row r="109" spans="14:22" ht="16.5">
      <c r="Q109" s="41"/>
    </row>
    <row r="110" spans="14:22" ht="16.5">
      <c r="Q110" s="41"/>
    </row>
  </sheetData>
  <mergeCells count="29">
    <mergeCell ref="N90:V90"/>
    <mergeCell ref="N68:S68"/>
    <mergeCell ref="B69:D69"/>
    <mergeCell ref="D71:F71"/>
    <mergeCell ref="D72:F72"/>
    <mergeCell ref="D73:F73"/>
    <mergeCell ref="D74:F74"/>
    <mergeCell ref="D75:F75"/>
    <mergeCell ref="D76:F76"/>
    <mergeCell ref="D77:F77"/>
    <mergeCell ref="D78:F78"/>
    <mergeCell ref="D70:F70"/>
    <mergeCell ref="B70:C70"/>
    <mergeCell ref="B71:C71"/>
    <mergeCell ref="B72:C72"/>
    <mergeCell ref="A1:E1"/>
    <mergeCell ref="A17:C17"/>
    <mergeCell ref="A32:C32"/>
    <mergeCell ref="N79:V79"/>
    <mergeCell ref="B73:C73"/>
    <mergeCell ref="B74:C74"/>
    <mergeCell ref="B75:C75"/>
    <mergeCell ref="B76:C76"/>
    <mergeCell ref="B77:C77"/>
    <mergeCell ref="B78:C78"/>
    <mergeCell ref="N1:S1"/>
    <mergeCell ref="N16:P16"/>
    <mergeCell ref="N33:P33"/>
    <mergeCell ref="N48:O48"/>
  </mergeCells>
  <conditionalFormatting sqref="O3:T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Slam</dc:creator>
  <cp:lastModifiedBy>Mohamed Slam</cp:lastModifiedBy>
  <dcterms:created xsi:type="dcterms:W3CDTF">2026-05-25T09:34:25Z</dcterms:created>
  <dcterms:modified xsi:type="dcterms:W3CDTF">2026-06-19T14:57:13Z</dcterms:modified>
</cp:coreProperties>
</file>